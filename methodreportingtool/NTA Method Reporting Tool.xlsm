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bjp\Documents\code_repository\NISTPFAS\NISTPFAS\methodreportingtool\"/>
    </mc:Choice>
  </mc:AlternateContent>
  <xr:revisionPtr revIDLastSave="0" documentId="13_ncr:1_{A0EC9B02-10FD-458B-9D0E-37A2BE5E9989}" xr6:coauthVersionLast="47" xr6:coauthVersionMax="47" xr10:uidLastSave="{00000000-0000-0000-0000-000000000000}"/>
  <bookViews>
    <workbookView xWindow="-120" yWindow="-120" windowWidth="29040" windowHeight="15840" xr2:uid="{90B8E717-CD35-4EBB-A047-3C52215825F8}"/>
  </bookViews>
  <sheets>
    <sheet name="Run" sheetId="10" r:id="rId1"/>
    <sheet name="Input_Validation" sheetId="11" state="hidden" r:id="rId2"/>
    <sheet name="Sample_Input" sheetId="5" r:id="rId3"/>
    <sheet name="Import" sheetId="12" state="hidden" r:id="rId4"/>
    <sheet name="Chromatography_Input" sheetId="1" r:id="rId5"/>
    <sheet name="Mass Spectrometry_Input" sheetId="3" r:id="rId6"/>
    <sheet name="QC Method_Input" sheetId="4" r:id="rId7"/>
    <sheet name="Peaks_Input" sheetId="8" r:id="rId8"/>
  </sheets>
  <definedNames>
    <definedName name="_xlnm._FilterDatabase" localSheetId="1" hidden="1">Input_Validation!$K$3:$K$7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10" l="1"/>
  <c r="C9" i="10"/>
  <c r="C6" i="10" l="1"/>
  <c r="C7" i="10" l="1"/>
  <c r="C5" i="10" l="1"/>
</calcChain>
</file>

<file path=xl/sharedStrings.xml><?xml version="1.0" encoding="utf-8"?>
<sst xmlns="http://schemas.openxmlformats.org/spreadsheetml/2006/main" count="628" uniqueCount="318">
  <si>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</si>
  <si>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</si>
  <si>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</si>
  <si>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</si>
  <si>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</si>
  <si>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</si>
  <si>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</si>
  <si>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</si>
  <si>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</si>
  <si>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</si>
  <si>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</si>
  <si>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</si>
  <si>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</si>
  <si>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</si>
  <si>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</si>
  <si>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mp1solvent</t>
  </si>
  <si>
    <t>mp1add</t>
  </si>
  <si>
    <t>mp2add</t>
  </si>
  <si>
    <t>mp3solvent</t>
  </si>
  <si>
    <t>mp3add</t>
  </si>
  <si>
    <t>mp4solvent</t>
  </si>
  <si>
    <t>mp4add</t>
  </si>
  <si>
    <t>colname</t>
  </si>
  <si>
    <t>colchemistry</t>
  </si>
  <si>
    <t>colid</t>
  </si>
  <si>
    <t>collen</t>
  </si>
  <si>
    <t>coldp</t>
  </si>
  <si>
    <t>Chromatograph Vendor</t>
  </si>
  <si>
    <t>Agilent Technologies</t>
  </si>
  <si>
    <t>cvendor</t>
  </si>
  <si>
    <t>Mass Spectrometry</t>
  </si>
  <si>
    <t>Mass Spectrometer Vendor</t>
  </si>
  <si>
    <t>Ionization Mode</t>
  </si>
  <si>
    <t>electrospray ionization</t>
  </si>
  <si>
    <t>Polarity</t>
  </si>
  <si>
    <t>negative</t>
  </si>
  <si>
    <t>polarity</t>
  </si>
  <si>
    <t>Ionization Voltage/Current Units</t>
  </si>
  <si>
    <t>V</t>
  </si>
  <si>
    <t>vunits</t>
  </si>
  <si>
    <t>First Mass Analyzer</t>
  </si>
  <si>
    <t>quadrupole</t>
  </si>
  <si>
    <t>massanalyzer1</t>
  </si>
  <si>
    <t>Second Mass Analyzer</t>
  </si>
  <si>
    <t>orbitrap</t>
  </si>
  <si>
    <t>massanalyzer2</t>
  </si>
  <si>
    <t>HCD</t>
  </si>
  <si>
    <t>fragmode</t>
  </si>
  <si>
    <t>Mass Analyzer Calibration</t>
  </si>
  <si>
    <t>External Standard Verification</t>
  </si>
  <si>
    <t>Internal Standard Verification</t>
  </si>
  <si>
    <t>Matrix Standard Verification</t>
  </si>
  <si>
    <t>qctype</t>
  </si>
  <si>
    <t>QC Method</t>
  </si>
  <si>
    <t>Sample Information</t>
  </si>
  <si>
    <t>File Name</t>
  </si>
  <si>
    <t>Sample Name</t>
  </si>
  <si>
    <t>description</t>
  </si>
  <si>
    <t>Sample Class</t>
  </si>
  <si>
    <t>MS2 Experiment</t>
  </si>
  <si>
    <t>ms2exp</t>
  </si>
  <si>
    <t>Isolation Width/Window (Da)</t>
  </si>
  <si>
    <t>isowidth</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</si>
  <si>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</si>
  <si>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</si>
  <si>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</si>
  <si>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</si>
  <si>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</si>
  <si>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</si>
  <si>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</si>
  <si>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</si>
  <si>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</si>
  <si>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</si>
  <si>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</si>
  <si>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</si>
  <si>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</si>
  <si>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</si>
  <si>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</si>
  <si>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</si>
  <si>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</si>
  <si>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</si>
  <si>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</si>
  <si>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</si>
  <si>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</si>
  <si>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</si>
  <si>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</si>
  <si>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</si>
  <si>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</si>
  <si>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</si>
  <si>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</si>
  <si>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</si>
  <si>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</si>
  <si>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</si>
  <si>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</si>
  <si>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</si>
  <si>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</si>
  <si>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</si>
  <si>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</si>
  <si>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</si>
  <si>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</si>
  <si>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</si>
  <si>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</si>
  <si>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</si>
  <si>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</si>
  <si>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</si>
  <si>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</si>
  <si>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</si>
  <si>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Method Reporting Tool for Non-Targeted Analyses</t>
  </si>
  <si>
    <t>atmospheric pressure chemical ionization</t>
  </si>
  <si>
    <t>atmospheric pressure photoionization</t>
  </si>
  <si>
    <t>chemical ionization</t>
  </si>
  <si>
    <t>electron ionization</t>
  </si>
  <si>
    <t>positive</t>
  </si>
  <si>
    <t>kV</t>
  </si>
  <si>
    <t>A</t>
  </si>
  <si>
    <t>μA</t>
  </si>
  <si>
    <t>eV</t>
  </si>
  <si>
    <t>linear ion-trap</t>
  </si>
  <si>
    <t>magnetic sector</t>
  </si>
  <si>
    <t>time-of-flight</t>
  </si>
  <si>
    <t>CID</t>
  </si>
  <si>
    <t>ECD</t>
  </si>
  <si>
    <t>DDA</t>
  </si>
  <si>
    <t>DIA</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</si>
  <si>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</si>
  <si>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</si>
  <si>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</si>
  <si>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</si>
  <si>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</si>
  <si>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</si>
  <si>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</si>
  <si>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</si>
  <si>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</si>
  <si>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</si>
  <si>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</si>
  <si>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</si>
  <si>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</si>
  <si>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</si>
  <si>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</si>
  <si>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</si>
  <si>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</si>
  <si>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</si>
  <si>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</si>
  <si>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</si>
  <si>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</si>
  <si>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</si>
  <si>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</si>
  <si>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</si>
  <si>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</si>
  <si>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</si>
  <si>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</si>
  <si>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</si>
  <si>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</si>
  <si>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</si>
  <si>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</si>
  <si>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</si>
  <si>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</si>
  <si>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</si>
  <si>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</si>
  <si>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</si>
  <si>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</si>
  <si>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</si>
  <si>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silica (no ligands)</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</si>
  <si>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</si>
  <si>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</si>
  <si>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</si>
  <si>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</si>
  <si>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</si>
  <si>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</si>
  <si>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</si>
  <si>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</si>
  <si>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</si>
  <si>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</si>
  <si>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</si>
  <si>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</si>
  <si>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</si>
  <si>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</si>
  <si>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</si>
  <si>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</si>
  <si>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</si>
  <si>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</si>
  <si>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</si>
  <si>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</si>
  <si>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</si>
  <si>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</si>
  <si>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</si>
  <si>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</si>
  <si>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</si>
  <si>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</si>
  <si>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 Units</t>
  </si>
  <si>
    <t>Instrument Mass Accuracy (ppm)</t>
  </si>
  <si>
    <t>Suspect List ID</t>
  </si>
  <si>
    <t>fourier transform ion cyclotron resonance</t>
  </si>
  <si>
    <t>Submitted by</t>
  </si>
  <si>
    <t>Ion State</t>
  </si>
  <si>
    <t>[M+H]+</t>
  </si>
  <si>
    <t>[M]+</t>
  </si>
  <si>
    <t>[M+Na]+</t>
  </si>
  <si>
    <t>[M+K]+</t>
  </si>
  <si>
    <t>[M+NH4]+</t>
  </si>
  <si>
    <t>[M-H2O+H]+</t>
  </si>
  <si>
    <t>[M]-</t>
  </si>
  <si>
    <t>[M-FCO2H]-</t>
  </si>
  <si>
    <t>[2M-H]-</t>
  </si>
  <si>
    <t>[M-H]-</t>
  </si>
  <si>
    <t>Verified?</t>
  </si>
  <si>
    <t>other</t>
  </si>
  <si>
    <t>Type of sample analyzed. Input is restricted.</t>
  </si>
  <si>
    <t>Type of Chromatography used for method.</t>
  </si>
  <si>
    <t>Vendor/Manufacturer of the chromatograph used</t>
  </si>
  <si>
    <t>Primary solvent consistuent of the sample, as injected.</t>
  </si>
  <si>
    <t>The primary solvent component (&gt;= 50 %)of the chromatography mobile phase 1 (mobile phase A). Use 'none' if using GC or no chromatography.</t>
  </si>
  <si>
    <t>The primary buffer/acid/base additive used in mobile phase 1 (mobile phase A)</t>
  </si>
  <si>
    <t>The primary solvent component (&gt;= 50 %)of the chromatography mobile phase 2 (mobile phase B). Use 'none' if using GC or no chromatography.</t>
  </si>
  <si>
    <t>The primary buffer/acid/base additive used in mobile phase 2 (mobile phase B)</t>
  </si>
  <si>
    <t>The primary solvent component (&gt;= 50 %)of the chromatography mobile phase 3 (mobile phase C). Use 'none' if using GC or no chromatography.</t>
  </si>
  <si>
    <t>The primary buffer/acid/base additive used in mobile phase 3 (mobile phase C)</t>
  </si>
  <si>
    <t>The primary solvent component (&gt;= 50 %)of the chromatography mobile phase 4 (mobile phase D). Use 'none' if using GC or no chromatography.</t>
  </si>
  <si>
    <t>The primary buffer/acid/base additive used in mobile phase 4 (mobile phase D)</t>
  </si>
  <si>
    <t>Vendor/Manufacturer of the analytical column</t>
  </si>
  <si>
    <t>Stationary phase chemistry/ligand of the chromatography column</t>
  </si>
  <si>
    <t>Vendor/Manufacturer of the guard column, use "none" if not used.</t>
  </si>
  <si>
    <t>Stationary phase chemistry/ligand of the chromatography column, use 'none' if not used.</t>
  </si>
  <si>
    <t>Vendor/Manufacturer of the mass spectrometer used.</t>
  </si>
  <si>
    <t>Mode of ionization of the mass spectrometer.</t>
  </si>
  <si>
    <t>Polarity of the ionization for the submitted compounds (one ionization polarity per submission).</t>
  </si>
  <si>
    <t>Units for the above-noted ionization voltage or current.</t>
  </si>
  <si>
    <t>First mass analyzer in the mass spectrometer.</t>
  </si>
  <si>
    <t>Last mass analyzer in the mass spectrometer. Use 'none' if only one mass analyzer was used.</t>
  </si>
  <si>
    <t>Type of fragmentation (or collisional dissociation) used for the generation of fragments.</t>
  </si>
  <si>
    <t>Type of fragmentation/collision energy used for mass spectrometer. If a stepped/ranged collision energy is used, select "Stepped", all other types select "Fixed"</t>
  </si>
  <si>
    <t>Units of the fragmentation/collision energy value above.</t>
  </si>
  <si>
    <t>The ion state of the measured precursor/molecular ion associated with the entered compound identity and m/z value.</t>
  </si>
  <si>
    <t>During the collection of the submitted data, did the user apply a quality assurance or quality control protocol?</t>
  </si>
  <si>
    <t>Was the mass analyzer (quadrupole, orbitrap, time-of-flight, ion trap, etc.) calibrated and within performance requirements prior to analysis?</t>
  </si>
  <si>
    <t>Was the performance of the method verified using chemical standards spiked in a blank solvent (non-matrix) solution?</t>
  </si>
  <si>
    <t>Was the performance of the method verified using chemical standards spiked into the sample solutions?</t>
  </si>
  <si>
    <t>Was the performance of the method verified using matrix-matched solution containing known chemicals (not spiked)?</t>
  </si>
  <si>
    <t>Type of fragmentation/MS2 experiment.</t>
  </si>
  <si>
    <t>JSON Parameter</t>
  </si>
  <si>
    <t>Ionization Voltage/Current Value</t>
  </si>
  <si>
    <t>Fragmentation Energy Value</t>
  </si>
  <si>
    <t>sample_class</t>
  </si>
  <si>
    <t>data_generator</t>
  </si>
  <si>
    <t>Source</t>
  </si>
  <si>
    <t>source</t>
  </si>
  <si>
    <t>ionization</t>
  </si>
  <si>
    <t>voltage</t>
  </si>
  <si>
    <t>ce_value</t>
  </si>
  <si>
    <t>ce_desc</t>
  </si>
  <si>
    <t>ce_units</t>
  </si>
  <si>
    <t>MS Method Source</t>
  </si>
  <si>
    <t>Chromatography Method Source</t>
  </si>
  <si>
    <t>QC Method Used</t>
  </si>
  <si>
    <t>Documentation</t>
  </si>
  <si>
    <t>sample</t>
  </si>
  <si>
    <t xml:space="preserve"> </t>
  </si>
  <si>
    <t xml:space="preserve"> bjp@nist.gov</t>
  </si>
  <si>
    <t>chromatography</t>
  </si>
  <si>
    <t xml:space="preserve"> Liquid Chromatography</t>
  </si>
  <si>
    <t xml:space="preserve"> water</t>
  </si>
  <si>
    <t xml:space="preserve"> ammonium acetate</t>
  </si>
  <si>
    <t xml:space="preserve"> methanol</t>
  </si>
  <si>
    <t xml:space="preserve"> none</t>
  </si>
  <si>
    <t xml:space="preserve"> Agilent Technologies</t>
  </si>
  <si>
    <t>massspectrometry</t>
  </si>
  <si>
    <t xml:space="preserve"> electrospray ionization</t>
  </si>
  <si>
    <t xml:space="preserve"> V</t>
  </si>
  <si>
    <t xml:space="preserve"> quadrupole</t>
  </si>
  <si>
    <t xml:space="preserve"> fixed</t>
  </si>
  <si>
    <t xml:space="preserve"> DDA</t>
  </si>
  <si>
    <t>qcmethod</t>
  </si>
  <si>
    <t>value</t>
  </si>
  <si>
    <t xml:space="preserve"> true</t>
  </si>
  <si>
    <t xml:space="preserve"> Mass Analyzer Calibration</t>
  </si>
  <si>
    <t xml:space="preserve"> External Standard Verification</t>
  </si>
  <si>
    <t xml:space="preserve"> Internal Standard Verification</t>
  </si>
  <si>
    <t xml:space="preserve"> false</t>
  </si>
  <si>
    <t xml:space="preserve"> Matrix Standard Verification</t>
  </si>
  <si>
    <t>peaks</t>
  </si>
  <si>
    <t>peak</t>
  </si>
  <si>
    <t>count</t>
  </si>
  <si>
    <t>identifier</t>
  </si>
  <si>
    <t>ionstate</t>
  </si>
  <si>
    <t>verified</t>
  </si>
  <si>
    <t>annotation</t>
  </si>
  <si>
    <t>compound</t>
  </si>
  <si>
    <t>fragment</t>
  </si>
  <si>
    <t>fragment_mz</t>
  </si>
  <si>
    <t>fragment_formula</t>
  </si>
  <si>
    <t>fragment_SMILES</t>
  </si>
  <si>
    <t>fragment_radical</t>
  </si>
  <si>
    <t xml:space="preserve"> 092615 AFFF POS 06.mzML</t>
  </si>
  <si>
    <t xml:space="preserve"> 3M 1989 AFFF</t>
  </si>
  <si>
    <t xml:space="preserve"> aqueous film-forming foam (AFFF)</t>
  </si>
  <si>
    <t xml:space="preserve"> Shimadzu Corporation</t>
  </si>
  <si>
    <t xml:space="preserve"> LC-30AD</t>
  </si>
  <si>
    <t xml:space="preserve"> acetonitrile</t>
  </si>
  <si>
    <t xml:space="preserve"> Zorbax Eclipse Plus C18</t>
  </si>
  <si>
    <t xml:space="preserve"> octadecyl (C18)</t>
  </si>
  <si>
    <t xml:space="preserve"> Zorbax Propylamine Zorbax Silica</t>
  </si>
  <si>
    <t xml:space="preserve"> mixed-phase</t>
  </si>
  <si>
    <t xml:space="preserve"> SCIEX</t>
  </si>
  <si>
    <t xml:space="preserve"> TripleTOF 5600+</t>
  </si>
  <si>
    <t xml:space="preserve"> positive</t>
  </si>
  <si>
    <t xml:space="preserve"> time-of-flight</t>
  </si>
  <si>
    <t xml:space="preserve"> CID</t>
  </si>
  <si>
    <t>qcused</t>
  </si>
  <si>
    <t xml:space="preserve"> 1N-hydroxyethyldimethylammoniopropyl perfluorohexanesulfonamide</t>
  </si>
  <si>
    <t xml:space="preserve"> M+</t>
  </si>
  <si>
    <t xml:space="preserve"> 2N-hydroxyethyldimethylammoniopropyl perfluorohexanesulfonamidoethanol</t>
  </si>
  <si>
    <t xml:space="preserve"> 3N-Trimethylammoniopropyl perfluorohexane sulfonamide</t>
  </si>
  <si>
    <t xml:space="preserve"> C3H8N</t>
  </si>
  <si>
    <t xml:space="preserve"> C4H12NO</t>
  </si>
  <si>
    <t xml:space="preserve"> C4H8N</t>
  </si>
  <si>
    <t xml:space="preserve"> C8H19N2O</t>
  </si>
  <si>
    <t xml:space="preserve"> C3H10N</t>
  </si>
  <si>
    <t>Version 1.2 updated 2/1/2022 BJP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</si>
</sst>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sz val="11"/>
      <color theme="1"/>
      <name val="Calibri"/>
      <family val="2"/>
    </font>
    <font>
      <b/>
      <sz val="16"/>
      <color theme="1"/>
      <name val="Calibri"/>
      <family val="2"/>
      <scheme val="minor"/>
    </font>
    <font>
      <u/>
      <sz val="11"/>
      <color theme="10"/>
      <name val="Calibri"/>
      <family val="2"/>
      <scheme val="minor"/>
    </font>
    <font>
      <i/>
      <sz val="11"/>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17">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0" applyFont="1"/>
    <xf numFmtId="0" fontId="6" fillId="0" borderId="0" xfId="1"/>
    <xf numFmtId="0" fontId="6" fillId="0" borderId="0" xfId="1" applyAlignment="1">
      <alignment horizontal="center"/>
    </xf>
    <xf numFmtId="0" fontId="0" fillId="0" borderId="0" xfId="0" applyAlignment="1">
      <alignment horizontal="center"/>
    </xf>
    <xf numFmtId="0" fontId="0" fillId="0" borderId="0" xfId="0" applyAlignment="1" applyProtection="1">
      <alignment horizontal="left"/>
    </xf>
    <xf numFmtId="0" fontId="6" fillId="0" borderId="0" xfId="1" applyAlignment="1" applyProtection="1">
      <alignment horizontal="left"/>
    </xf>
    <xf numFmtId="0" fontId="0" fillId="0" borderId="0" xfId="0" applyProtection="1"/>
    <xf numFmtId="0" fontId="0" fillId="0" borderId="0" xfId="0" applyAlignment="1">
      <alignment wrapText="1"/>
    </xf>
    <xf numFmtId="0" fontId="6" fillId="0" borderId="0" xfId="1" applyAlignment="1">
      <alignment horizontal="left"/>
    </xf>
    <xf numFmtId="0" fontId="7" fillId="0" borderId="0" xfId="0" applyFont="1"/>
  </cellXfs>
  <cellStyles count="2">
    <cellStyle name="Hyperlink" xfId="1" builtinId="8"/>
    <cellStyle name="Normal" xfId="0" builtinId="0"/>
  </cellStyles>
  <dxfs count="6">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Method JSON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xdr:colOff>
          <xdr:row>21</xdr:row>
          <xdr:rowOff>123825</xdr:rowOff>
        </xdr:from>
        <xdr:to>
          <xdr:col>1</xdr:col>
          <xdr:colOff>1190625</xdr:colOff>
          <xdr:row>23</xdr:row>
          <xdr:rowOff>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0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JSON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data.nist.gov/od/id/mds2-2387"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20"/>
  <sheetViews>
    <sheetView tabSelected="1" workbookViewId="0">
      <selection activeCell="I22" sqref="I22"/>
    </sheetView>
  </sheetViews>
  <sheetFormatPr defaultRowHeight="15" x14ac:dyDescent="0.25"/>
  <cols>
    <col min="2" max="2" width="30.140625" customWidth="1"/>
  </cols>
  <sheetData>
    <row r="1" spans="1:3" ht="21" x14ac:dyDescent="0.35">
      <c r="A1" s="7" t="s">
        <v>107</v>
      </c>
    </row>
    <row r="3" spans="1:3" x14ac:dyDescent="0.25">
      <c r="A3" s="1" t="s">
        <v>97</v>
      </c>
    </row>
    <row r="4" spans="1:3" x14ac:dyDescent="0.25">
      <c r="B4" s="1" t="s">
        <v>103</v>
      </c>
      <c r="C4" s="1" t="s">
        <v>104</v>
      </c>
    </row>
    <row r="5" spans="1:3" x14ac:dyDescent="0.25">
      <c r="B5" s="8" t="s">
        <v>98</v>
      </c>
      <c r="C5" t="b">
        <f>IF(COUNTA(Sample_Input!B4:B7)=4, TRUE, FALSE)</f>
        <v>0</v>
      </c>
    </row>
    <row r="6" spans="1:3" x14ac:dyDescent="0.25">
      <c r="B6" s="8" t="s">
        <v>99</v>
      </c>
      <c r="C6" t="b">
        <f>IF(COUNTA(Chromatography_Input!B4:B22,Chromatography_Input!B24)=20,TRUE,FALSE)</f>
        <v>0</v>
      </c>
    </row>
    <row r="7" spans="1:3" x14ac:dyDescent="0.25">
      <c r="B7" s="8" t="s">
        <v>100</v>
      </c>
      <c r="C7" t="b">
        <f>IF(COUNTA('Mass Spectrometry_Input'!B4:B20)&gt;13, TRUE, FALSE)</f>
        <v>0</v>
      </c>
    </row>
    <row r="8" spans="1:3" x14ac:dyDescent="0.25">
      <c r="B8" s="8" t="s">
        <v>101</v>
      </c>
      <c r="C8" t="b">
        <f>IF(COUNTA('QC Method_Input'!B4:B8)=5, TRUE, FALSE)</f>
        <v>0</v>
      </c>
    </row>
    <row r="9" spans="1:3" x14ac:dyDescent="0.25">
      <c r="B9" s="8" t="s">
        <v>102</v>
      </c>
      <c r="C9" t="b">
        <f>AND(COUNTA(Peaks_Input!A4:H1048576)&gt;0, COUNTA(Peaks_Input!A4:H1048576)= COUNTA(Peaks_Input!A4:A1048576)*8)</f>
        <v>0</v>
      </c>
    </row>
    <row r="11" spans="1:3" x14ac:dyDescent="0.25">
      <c r="A11" s="1" t="s">
        <v>129</v>
      </c>
    </row>
    <row r="12" spans="1:3" x14ac:dyDescent="0.25">
      <c r="B12" t="s">
        <v>131</v>
      </c>
      <c r="C12" t="b">
        <v>0</v>
      </c>
    </row>
    <row r="14" spans="1:3" x14ac:dyDescent="0.25">
      <c r="A14" s="1" t="s">
        <v>128</v>
      </c>
    </row>
    <row r="17" spans="1:2" x14ac:dyDescent="0.25">
      <c r="A17" s="1" t="s">
        <v>130</v>
      </c>
    </row>
    <row r="18" spans="1:2" x14ac:dyDescent="0.25">
      <c r="B18" t="s">
        <v>105</v>
      </c>
    </row>
    <row r="20" spans="1:2" x14ac:dyDescent="0.25">
      <c r="A20" s="16" t="s">
        <v>317</v>
      </c>
    </row>
  </sheetData>
  <sheetProtection sheet="1" objects="1" scenarios="1"/>
  <protectedRanges>
    <protectedRange sqref="C12" name="tables"/>
  </protectedRanges>
  <conditionalFormatting sqref="C5">
    <cfRule type="cellIs" dxfId="5" priority="5" operator="equal">
      <formula>FALSE</formula>
    </cfRule>
    <cfRule type="containsText" dxfId="4" priority="11" operator="containsText" text="TRUE">
      <formula>NOT(ISERROR(SEARCH("TRUE",C5)))</formula>
    </cfRule>
  </conditionalFormatting>
  <conditionalFormatting sqref="C6:C9">
    <cfRule type="cellIs" dxfId="3" priority="3" operator="equal">
      <formula>FALSE</formula>
    </cfRule>
    <cfRule type="containsText" dxfId="2" priority="4" operator="containsText" text="TRUE">
      <formula>NOT(ISERROR(SEARCH("TRUE",C6)))</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JSON">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mc:AlternateContent xmlns:mc="http://schemas.openxmlformats.org/markup-compatibility/2006">
          <mc:Choice Requires="x14">
            <control shapeId="10244" r:id="rId6" name="Button 4">
              <controlPr defaultSize="0" print="0" autoFill="0" autoPict="0" macro="[0]!importJSON">
                <anchor moveWithCells="1" sizeWithCells="1">
                  <from>
                    <xdr:col>1</xdr:col>
                    <xdr:colOff>200025</xdr:colOff>
                    <xdr:row>21</xdr:row>
                    <xdr:rowOff>123825</xdr:rowOff>
                  </from>
                  <to>
                    <xdr:col>1</xdr:col>
                    <xdr:colOff>1190625</xdr:colOff>
                    <xdr:row>23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AF17"/>
  <sheetViews>
    <sheetView topLeftCell="R1" workbookViewId="0">
      <selection activeCell="Z2" sqref="Z2"/>
    </sheetView>
  </sheetViews>
  <sheetFormatPr defaultRowHeight="15" x14ac:dyDescent="0.25"/>
  <cols>
    <col min="1" max="1" width="32.140625" bestFit="1" customWidth="1"/>
    <col min="2" max="2" width="22.140625" bestFit="1" customWidth="1"/>
    <col min="3" max="3" width="21.28515625" bestFit="1" customWidth="1"/>
    <col min="4" max="10" width="21.28515625" customWidth="1"/>
    <col min="11" max="11" width="18.7109375" bestFit="1" customWidth="1"/>
    <col min="12" max="12" width="19.85546875" bestFit="1" customWidth="1"/>
    <col min="13" max="13" width="29.28515625" bestFit="1" customWidth="1"/>
    <col min="14" max="14" width="29.28515625" customWidth="1"/>
    <col min="15" max="15" width="29.28515625" bestFit="1" customWidth="1"/>
    <col min="16" max="16" width="29.28515625" customWidth="1"/>
    <col min="17" max="17" width="24.42578125" bestFit="1" customWidth="1"/>
    <col min="18" max="18" width="36.85546875" bestFit="1" customWidth="1"/>
    <col min="20" max="20" width="29" bestFit="1" customWidth="1"/>
    <col min="21" max="21" width="14.42578125" bestFit="1" customWidth="1"/>
    <col min="22" max="22" width="14.42578125" customWidth="1"/>
    <col min="23" max="23" width="22.85546875" bestFit="1" customWidth="1"/>
    <col min="24" max="24" width="33" bestFit="1" customWidth="1"/>
    <col min="25" max="25" width="33.28515625" bestFit="1" customWidth="1"/>
    <col min="26" max="26" width="15.5703125" bestFit="1" customWidth="1"/>
    <col min="27" max="31" width="15.5703125" customWidth="1"/>
    <col min="32" max="32" width="11.85546875" bestFit="1" customWidth="1"/>
  </cols>
  <sheetData>
    <row r="1" spans="1:32" x14ac:dyDescent="0.25">
      <c r="A1" t="s">
        <v>58</v>
      </c>
      <c r="B1" t="s">
        <v>5</v>
      </c>
      <c r="C1" t="s">
        <v>27</v>
      </c>
      <c r="D1" t="s">
        <v>132</v>
      </c>
      <c r="E1" t="s">
        <v>1</v>
      </c>
      <c r="F1" t="s">
        <v>2</v>
      </c>
      <c r="G1" t="s">
        <v>8</v>
      </c>
      <c r="H1" t="s">
        <v>9</v>
      </c>
      <c r="I1" t="s">
        <v>10</v>
      </c>
      <c r="J1" t="s">
        <v>11</v>
      </c>
      <c r="K1" t="s">
        <v>12</v>
      </c>
      <c r="L1" t="s">
        <v>13</v>
      </c>
      <c r="M1" t="s">
        <v>179</v>
      </c>
      <c r="N1" t="s">
        <v>180</v>
      </c>
      <c r="O1" t="s">
        <v>146</v>
      </c>
      <c r="P1" t="s">
        <v>149</v>
      </c>
      <c r="Q1" t="s">
        <v>31</v>
      </c>
      <c r="R1" t="s">
        <v>32</v>
      </c>
      <c r="S1" t="s">
        <v>34</v>
      </c>
      <c r="T1" t="s">
        <v>37</v>
      </c>
      <c r="U1" t="s">
        <v>40</v>
      </c>
      <c r="V1" t="s">
        <v>43</v>
      </c>
      <c r="W1" t="s">
        <v>186</v>
      </c>
      <c r="X1" t="s">
        <v>188</v>
      </c>
      <c r="Y1" t="s">
        <v>189</v>
      </c>
      <c r="Z1" t="s">
        <v>59</v>
      </c>
      <c r="AA1" t="s">
        <v>106</v>
      </c>
      <c r="AB1" t="s">
        <v>48</v>
      </c>
      <c r="AC1" t="s">
        <v>49</v>
      </c>
      <c r="AD1" t="s">
        <v>50</v>
      </c>
      <c r="AE1" t="s">
        <v>51</v>
      </c>
      <c r="AF1" t="s">
        <v>194</v>
      </c>
    </row>
    <row r="2" spans="1:32" ht="18.75" customHeight="1" x14ac:dyDescent="0.25">
      <c r="A2" t="s">
        <v>207</v>
      </c>
      <c r="B2" t="s">
        <v>208</v>
      </c>
      <c r="C2" t="s">
        <v>209</v>
      </c>
      <c r="D2" t="s">
        <v>210</v>
      </c>
      <c r="E2" t="s">
        <v>211</v>
      </c>
      <c r="F2" t="s">
        <v>212</v>
      </c>
      <c r="G2" t="s">
        <v>213</v>
      </c>
      <c r="H2" t="s">
        <v>214</v>
      </c>
      <c r="I2" t="s">
        <v>215</v>
      </c>
      <c r="J2" t="s">
        <v>216</v>
      </c>
      <c r="K2" t="s">
        <v>217</v>
      </c>
      <c r="L2" t="s">
        <v>218</v>
      </c>
      <c r="M2" t="s">
        <v>219</v>
      </c>
      <c r="N2" t="s">
        <v>220</v>
      </c>
      <c r="O2" t="s">
        <v>221</v>
      </c>
      <c r="P2" t="s">
        <v>222</v>
      </c>
      <c r="Q2" t="s">
        <v>223</v>
      </c>
      <c r="R2" t="s">
        <v>224</v>
      </c>
      <c r="S2" t="s">
        <v>225</v>
      </c>
      <c r="T2" t="s">
        <v>226</v>
      </c>
      <c r="U2" t="s">
        <v>227</v>
      </c>
      <c r="V2" t="s">
        <v>228</v>
      </c>
      <c r="W2" t="s">
        <v>229</v>
      </c>
      <c r="X2" t="s">
        <v>230</v>
      </c>
      <c r="Y2" t="s">
        <v>231</v>
      </c>
      <c r="Z2" s="14" t="s">
        <v>238</v>
      </c>
      <c r="AA2" s="14" t="s">
        <v>233</v>
      </c>
      <c r="AB2" s="14" t="s">
        <v>234</v>
      </c>
      <c r="AC2" s="14" t="s">
        <v>235</v>
      </c>
      <c r="AD2" s="14" t="s">
        <v>236</v>
      </c>
      <c r="AE2" s="14" t="s">
        <v>237</v>
      </c>
      <c r="AF2" t="s">
        <v>232</v>
      </c>
    </row>
    <row r="3" spans="1:32" x14ac:dyDescent="0.25">
      <c r="A3" t="s">
        <v>68</v>
      </c>
      <c r="B3" t="s">
        <v>77</v>
      </c>
      <c r="C3" t="s">
        <v>7</v>
      </c>
      <c r="D3" t="s">
        <v>14</v>
      </c>
      <c r="E3" t="s">
        <v>14</v>
      </c>
      <c r="F3" t="s">
        <v>14</v>
      </c>
      <c r="G3" t="s">
        <v>14</v>
      </c>
      <c r="H3" t="s">
        <v>14</v>
      </c>
      <c r="I3" t="s">
        <v>14</v>
      </c>
      <c r="J3" t="s">
        <v>14</v>
      </c>
      <c r="K3" t="s">
        <v>14</v>
      </c>
      <c r="L3" t="s">
        <v>14</v>
      </c>
      <c r="M3" t="s">
        <v>7</v>
      </c>
      <c r="N3" t="s">
        <v>14</v>
      </c>
      <c r="O3" t="s">
        <v>14</v>
      </c>
      <c r="P3" t="s">
        <v>14</v>
      </c>
      <c r="Q3" t="s">
        <v>7</v>
      </c>
      <c r="R3" t="s">
        <v>33</v>
      </c>
      <c r="S3" t="s">
        <v>112</v>
      </c>
      <c r="T3" t="s">
        <v>38</v>
      </c>
      <c r="U3" t="s">
        <v>14</v>
      </c>
      <c r="V3" t="s">
        <v>14</v>
      </c>
      <c r="W3" t="s">
        <v>46</v>
      </c>
      <c r="X3" t="s">
        <v>126</v>
      </c>
      <c r="Y3" t="s">
        <v>125</v>
      </c>
      <c r="Z3" t="s">
        <v>14</v>
      </c>
      <c r="AA3" t="b">
        <v>1</v>
      </c>
      <c r="AB3" t="b">
        <v>1</v>
      </c>
      <c r="AC3" t="b">
        <v>1</v>
      </c>
      <c r="AD3" t="b">
        <v>1</v>
      </c>
      <c r="AE3" t="b">
        <v>1</v>
      </c>
      <c r="AF3" t="s">
        <v>196</v>
      </c>
    </row>
    <row r="4" spans="1:32" x14ac:dyDescent="0.25">
      <c r="A4" t="s">
        <v>69</v>
      </c>
      <c r="B4" t="s">
        <v>78</v>
      </c>
      <c r="C4" t="s">
        <v>28</v>
      </c>
      <c r="D4" t="s">
        <v>86</v>
      </c>
      <c r="E4" t="s">
        <v>86</v>
      </c>
      <c r="F4" t="s">
        <v>87</v>
      </c>
      <c r="G4" t="s">
        <v>86</v>
      </c>
      <c r="H4" t="s">
        <v>87</v>
      </c>
      <c r="I4" t="s">
        <v>86</v>
      </c>
      <c r="J4" t="s">
        <v>87</v>
      </c>
      <c r="K4" t="s">
        <v>86</v>
      </c>
      <c r="L4" t="s">
        <v>87</v>
      </c>
      <c r="M4" t="s">
        <v>28</v>
      </c>
      <c r="N4" t="s">
        <v>157</v>
      </c>
      <c r="O4" t="s">
        <v>7</v>
      </c>
      <c r="P4" t="s">
        <v>157</v>
      </c>
      <c r="Q4" t="s">
        <v>28</v>
      </c>
      <c r="R4" t="s">
        <v>108</v>
      </c>
      <c r="S4" t="s">
        <v>35</v>
      </c>
      <c r="T4" t="s">
        <v>113</v>
      </c>
      <c r="U4" t="s">
        <v>41</v>
      </c>
      <c r="V4" t="s">
        <v>41</v>
      </c>
      <c r="W4" t="s">
        <v>120</v>
      </c>
      <c r="X4" t="s">
        <v>127</v>
      </c>
      <c r="Y4" t="s">
        <v>38</v>
      </c>
      <c r="Z4" t="s">
        <v>122</v>
      </c>
      <c r="AA4" t="b">
        <v>0</v>
      </c>
      <c r="AB4" t="b">
        <v>0</v>
      </c>
      <c r="AC4" t="b">
        <v>0</v>
      </c>
      <c r="AD4" t="b">
        <v>0</v>
      </c>
      <c r="AE4" t="b">
        <v>0</v>
      </c>
      <c r="AF4" t="s">
        <v>195</v>
      </c>
    </row>
    <row r="5" spans="1:32" x14ac:dyDescent="0.25">
      <c r="A5" t="s">
        <v>70</v>
      </c>
      <c r="B5" t="s">
        <v>79</v>
      </c>
      <c r="C5" t="s">
        <v>81</v>
      </c>
      <c r="D5" t="s">
        <v>90</v>
      </c>
      <c r="E5" t="s">
        <v>90</v>
      </c>
      <c r="F5" t="s">
        <v>89</v>
      </c>
      <c r="G5" t="s">
        <v>90</v>
      </c>
      <c r="H5" t="s">
        <v>89</v>
      </c>
      <c r="I5" t="s">
        <v>90</v>
      </c>
      <c r="J5" t="s">
        <v>89</v>
      </c>
      <c r="K5" t="s">
        <v>90</v>
      </c>
      <c r="L5" t="s">
        <v>89</v>
      </c>
      <c r="M5" t="s">
        <v>81</v>
      </c>
      <c r="N5" t="s">
        <v>158</v>
      </c>
      <c r="O5" t="s">
        <v>28</v>
      </c>
      <c r="P5" t="s">
        <v>158</v>
      </c>
      <c r="Q5" t="s">
        <v>81</v>
      </c>
      <c r="R5" t="s">
        <v>109</v>
      </c>
      <c r="T5" t="s">
        <v>114</v>
      </c>
      <c r="U5" t="s">
        <v>117</v>
      </c>
      <c r="V5" t="s">
        <v>117</v>
      </c>
      <c r="W5" t="s">
        <v>121</v>
      </c>
      <c r="Z5" t="s">
        <v>124</v>
      </c>
      <c r="AF5" t="s">
        <v>197</v>
      </c>
    </row>
    <row r="6" spans="1:32" x14ac:dyDescent="0.25">
      <c r="A6" t="s">
        <v>72</v>
      </c>
      <c r="B6" t="s">
        <v>80</v>
      </c>
      <c r="C6" t="s">
        <v>82</v>
      </c>
      <c r="D6" t="s">
        <v>88</v>
      </c>
      <c r="E6" t="s">
        <v>88</v>
      </c>
      <c r="F6" t="s">
        <v>91</v>
      </c>
      <c r="G6" t="s">
        <v>88</v>
      </c>
      <c r="H6" t="s">
        <v>91</v>
      </c>
      <c r="I6" t="s">
        <v>88</v>
      </c>
      <c r="J6" t="s">
        <v>91</v>
      </c>
      <c r="K6" t="s">
        <v>88</v>
      </c>
      <c r="L6" t="s">
        <v>91</v>
      </c>
      <c r="M6" t="s">
        <v>82</v>
      </c>
      <c r="N6" t="s">
        <v>155</v>
      </c>
      <c r="O6" t="s">
        <v>81</v>
      </c>
      <c r="P6" t="s">
        <v>155</v>
      </c>
      <c r="Q6" t="s">
        <v>82</v>
      </c>
      <c r="R6" t="s">
        <v>110</v>
      </c>
      <c r="T6" t="s">
        <v>115</v>
      </c>
      <c r="U6" t="s">
        <v>118</v>
      </c>
      <c r="V6" t="s">
        <v>118</v>
      </c>
      <c r="W6" t="s">
        <v>187</v>
      </c>
      <c r="Z6" t="s">
        <v>123</v>
      </c>
      <c r="AF6" t="s">
        <v>198</v>
      </c>
    </row>
    <row r="7" spans="1:32" x14ac:dyDescent="0.25">
      <c r="A7" t="s">
        <v>71</v>
      </c>
      <c r="C7" t="s">
        <v>83</v>
      </c>
      <c r="D7" t="s">
        <v>92</v>
      </c>
      <c r="E7" t="s">
        <v>92</v>
      </c>
      <c r="F7" t="s">
        <v>93</v>
      </c>
      <c r="G7" t="s">
        <v>92</v>
      </c>
      <c r="H7" t="s">
        <v>93</v>
      </c>
      <c r="I7" t="s">
        <v>92</v>
      </c>
      <c r="J7" t="s">
        <v>93</v>
      </c>
      <c r="K7" t="s">
        <v>92</v>
      </c>
      <c r="L7" t="s">
        <v>93</v>
      </c>
      <c r="M7" t="s">
        <v>96</v>
      </c>
      <c r="N7" t="s">
        <v>156</v>
      </c>
      <c r="O7" t="s">
        <v>82</v>
      </c>
      <c r="P7" t="s">
        <v>156</v>
      </c>
      <c r="Q7" t="s">
        <v>83</v>
      </c>
      <c r="R7" t="s">
        <v>111</v>
      </c>
      <c r="T7" t="s">
        <v>116</v>
      </c>
      <c r="U7" t="s">
        <v>119</v>
      </c>
      <c r="V7" t="s">
        <v>119</v>
      </c>
      <c r="AF7" t="s">
        <v>199</v>
      </c>
    </row>
    <row r="8" spans="1:32" x14ac:dyDescent="0.25">
      <c r="A8" t="s">
        <v>73</v>
      </c>
      <c r="C8" t="s">
        <v>84</v>
      </c>
      <c r="D8" t="s">
        <v>166</v>
      </c>
      <c r="E8" t="s">
        <v>166</v>
      </c>
      <c r="F8" t="s">
        <v>94</v>
      </c>
      <c r="G8" t="s">
        <v>166</v>
      </c>
      <c r="H8" t="s">
        <v>94</v>
      </c>
      <c r="I8" t="s">
        <v>166</v>
      </c>
      <c r="J8" t="s">
        <v>94</v>
      </c>
      <c r="K8" t="s">
        <v>166</v>
      </c>
      <c r="L8" t="s">
        <v>94</v>
      </c>
      <c r="M8" t="s">
        <v>152</v>
      </c>
      <c r="N8" t="s">
        <v>163</v>
      </c>
      <c r="O8" t="s">
        <v>96</v>
      </c>
      <c r="P8" t="s">
        <v>163</v>
      </c>
      <c r="Q8" t="s">
        <v>84</v>
      </c>
      <c r="U8" t="s">
        <v>44</v>
      </c>
      <c r="V8" t="s">
        <v>44</v>
      </c>
      <c r="AF8" t="s">
        <v>200</v>
      </c>
    </row>
    <row r="9" spans="1:32" x14ac:dyDescent="0.25">
      <c r="A9" t="s">
        <v>74</v>
      </c>
      <c r="C9" t="s">
        <v>85</v>
      </c>
      <c r="D9" t="s">
        <v>164</v>
      </c>
      <c r="E9" t="s">
        <v>164</v>
      </c>
      <c r="F9" t="s">
        <v>95</v>
      </c>
      <c r="G9" t="s">
        <v>164</v>
      </c>
      <c r="H9" t="s">
        <v>95</v>
      </c>
      <c r="I9" t="s">
        <v>164</v>
      </c>
      <c r="J9" t="s">
        <v>95</v>
      </c>
      <c r="K9" t="s">
        <v>164</v>
      </c>
      <c r="L9" t="s">
        <v>95</v>
      </c>
      <c r="M9" t="s">
        <v>153</v>
      </c>
      <c r="N9" t="s">
        <v>159</v>
      </c>
      <c r="O9" t="s">
        <v>152</v>
      </c>
      <c r="P9" t="s">
        <v>162</v>
      </c>
      <c r="U9" t="s">
        <v>192</v>
      </c>
      <c r="V9" t="s">
        <v>192</v>
      </c>
      <c r="AF9" t="s">
        <v>201</v>
      </c>
    </row>
    <row r="10" spans="1:32" x14ac:dyDescent="0.25">
      <c r="A10" t="s">
        <v>75</v>
      </c>
      <c r="D10" t="s">
        <v>165</v>
      </c>
      <c r="E10" t="s">
        <v>165</v>
      </c>
      <c r="G10" t="s">
        <v>165</v>
      </c>
      <c r="I10" t="s">
        <v>165</v>
      </c>
      <c r="K10" t="s">
        <v>165</v>
      </c>
      <c r="M10" t="s">
        <v>154</v>
      </c>
      <c r="N10" t="s">
        <v>160</v>
      </c>
      <c r="O10" t="s">
        <v>153</v>
      </c>
      <c r="P10" t="s">
        <v>160</v>
      </c>
      <c r="AF10" t="s">
        <v>204</v>
      </c>
    </row>
    <row r="11" spans="1:32" x14ac:dyDescent="0.25">
      <c r="A11" t="s">
        <v>76</v>
      </c>
      <c r="D11" t="s">
        <v>178</v>
      </c>
      <c r="E11" t="s">
        <v>178</v>
      </c>
      <c r="G11" t="s">
        <v>178</v>
      </c>
      <c r="I11" t="s">
        <v>178</v>
      </c>
      <c r="K11" t="s">
        <v>178</v>
      </c>
      <c r="N11" t="s">
        <v>161</v>
      </c>
      <c r="O11" t="s">
        <v>154</v>
      </c>
      <c r="P11" t="s">
        <v>161</v>
      </c>
      <c r="AF11" t="s">
        <v>202</v>
      </c>
    </row>
    <row r="12" spans="1:32" x14ac:dyDescent="0.25">
      <c r="A12" t="s">
        <v>167</v>
      </c>
      <c r="AF12" t="s">
        <v>203</v>
      </c>
    </row>
    <row r="13" spans="1:32" x14ac:dyDescent="0.25">
      <c r="A13" t="s">
        <v>168</v>
      </c>
    </row>
    <row r="14" spans="1:32" x14ac:dyDescent="0.25">
      <c r="A14" t="s">
        <v>169</v>
      </c>
    </row>
    <row r="15" spans="1:32" x14ac:dyDescent="0.25">
      <c r="A15" t="s">
        <v>170</v>
      </c>
    </row>
    <row r="16" spans="1:32" x14ac:dyDescent="0.25">
      <c r="A16" t="s">
        <v>171</v>
      </c>
    </row>
    <row r="17" spans="1:1" x14ac:dyDescent="0.25">
      <c r="A17" t="s">
        <v>206</v>
      </c>
    </row>
  </sheetData>
  <dataValidations count="28">
    <dataValidation allowBlank="1" showErrorMessage="1" promptTitle="Type of Chromatography" sqref="B1:B2" xr:uid="{DEC28128-790C-4C4D-AFCB-85B0B6752EC0}"/>
    <dataValidation allowBlank="1" showErrorMessage="1" promptTitle="Chromatograph Vendor" sqref="C1:C2 D2" xr:uid="{621B644B-E34E-4E45-A46B-001919F9F225}"/>
    <dataValidation allowBlank="1" showErrorMessage="1" promptTitle="Mobile Phase 4 Additive" sqref="L1:L2" xr:uid="{B26DD7B7-43EF-4701-986C-BEB350838C62}"/>
    <dataValidation allowBlank="1" showErrorMessage="1" promptTitle="Mobile Phase 3 Additive" sqref="J1:J2" xr:uid="{3340EBCC-A570-48E2-AEE3-E7C9A31BC440}"/>
    <dataValidation allowBlank="1" showErrorMessage="1" promptTitle="Mobile Phase 2 Additive" sqref="H1 G2" xr:uid="{9F4AAF6B-6BE8-40A5-8301-EBC3B7AFA482}"/>
    <dataValidation allowBlank="1" showErrorMessage="1" promptTitle="Mobile Phase 1 Additive" sqref="F1 E2" xr:uid="{4D04A96E-1263-4B9F-92BD-985FB7F67E4B}"/>
    <dataValidation allowBlank="1" showErrorMessage="1" promptTitle="Mobile Phase 4 Solvent" sqref="K1:K2" xr:uid="{C8A3DFEE-E0C7-4734-8152-863670986A24}"/>
    <dataValidation allowBlank="1" showErrorMessage="1" promptTitle="Mobile Phase 3 Solvent" sqref="I1:I2 H2" xr:uid="{6EDD9888-2B53-4656-B0BF-7B1E69DE88E8}"/>
    <dataValidation allowBlank="1" showErrorMessage="1" promptTitle="Mobile Phase 2 Solvent" sqref="G1 F2" xr:uid="{5BFD28B9-A0E4-4976-8E3F-6C4BF3095C1C}"/>
    <dataValidation allowBlank="1" showErrorMessage="1" sqref="E1" xr:uid="{91700420-A091-4547-94CA-521E03BB5643}"/>
    <dataValidation allowBlank="1" showErrorMessage="1" promptTitle="Chromatography Column Vendor" sqref="M1:M2" xr:uid="{0E418FDB-8D75-415D-AD6E-A266461EFC40}"/>
    <dataValidation allowBlank="1" showErrorMessage="1" promptTitle="Column phase" sqref="N1:N2" xr:uid="{291C6696-0A40-4E9B-8C1F-CC771DD6A751}"/>
    <dataValidation allowBlank="1" showErrorMessage="1" promptTitle="Vendor of Mass Spectrometer" sqref="Q1:Q2 P2" xr:uid="{37B689E9-0609-432F-B0AA-9F2F324951B8}"/>
    <dataValidation allowBlank="1" showErrorMessage="1" promptTitle="Ionization Mode" sqref="R1:R2" xr:uid="{087F13AC-418C-4A2A-BFF7-B4AD35407EE2}"/>
    <dataValidation allowBlank="1" showErrorMessage="1" promptTitle="Ionization Polarity" sqref="S1:S2" xr:uid="{C2A9D047-90EF-4415-9E6F-6730C97C6912}"/>
    <dataValidation allowBlank="1" showInputMessage="1" showErrorMessage="1" promptTitle="Units of ionization voltage/curr" sqref="T1:T2" xr:uid="{DC126BE1-DC47-4E65-8272-16CB44918943}"/>
    <dataValidation allowBlank="1" showInputMessage="1" showErrorMessage="1" promptTitle="First mass analyzer" sqref="U1:U2" xr:uid="{4B38205A-A2A5-47E3-8767-38EE927152E0}"/>
    <dataValidation allowBlank="1" showInputMessage="1" showErrorMessage="1" promptTitle="Last Mass Analyzer" sqref="V1:V2" xr:uid="{CFA56398-145B-4337-A722-AF129C5A52A3}"/>
    <dataValidation allowBlank="1" showInputMessage="1" showErrorMessage="1" promptTitle="Collision Cell Type" sqref="W1:W2" xr:uid="{7D883D42-9389-43E6-9C1D-9C01A255995D}"/>
    <dataValidation allowBlank="1" showInputMessage="1" showErrorMessage="1" promptTitle="Type of Fragmentation/Collision " sqref="X1:X2" xr:uid="{8F71A42F-9366-4E52-859E-C17EA50BA92E}"/>
    <dataValidation allowBlank="1" showErrorMessage="1" promptTitle="F/CE Units" sqref="Y1:Y2" xr:uid="{FE7202D5-FE40-4C38-9247-6A9F995F595D}"/>
    <dataValidation allowBlank="1" showErrorMessage="1" promptTitle="MS2 Experiment Type" sqref="Z1:Z2 AA2:AE2" xr:uid="{8639F707-8106-44F3-B4E2-51DCD41EC696}"/>
    <dataValidation allowBlank="1" showErrorMessage="1" promptTitle="Sample Solvent" sqref="D1" xr:uid="{61C532CA-B93C-41F1-A8B5-A50938843704}"/>
    <dataValidation allowBlank="1" showErrorMessage="1" promptTitle="Matrix Standard Verication" sqref="AE1" xr:uid="{5B97686F-FDC5-482A-8054-463C267D630A}"/>
    <dataValidation allowBlank="1" showErrorMessage="1" promptTitle="Internal Standard Verification" sqref="AD1" xr:uid="{42F76F4D-4A58-448F-AD4C-C810D77C36CA}"/>
    <dataValidation allowBlank="1" showErrorMessage="1" promptTitle="External Standard Verification" sqref="AC1" xr:uid="{7A6CC6C6-20E8-41AF-8940-59D6CE0B8F56}"/>
    <dataValidation allowBlank="1" showErrorMessage="1" promptTitle="Mass Analyzer Calibration" sqref="AB1" xr:uid="{ACFD7B5D-D14E-412F-A277-D53E669DAEAA}"/>
    <dataValidation allowBlank="1" showErrorMessage="1" promptTitle="Was a QA/QC Method Used" sqref="AA1" xr:uid="{7C73BFB9-ADC3-4C20-9488-3ED3CE223A1F}"/>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D8"/>
  <sheetViews>
    <sheetView workbookViewId="0">
      <selection activeCell="C15" sqref="C15:C16"/>
    </sheetView>
  </sheetViews>
  <sheetFormatPr defaultRowHeight="15" x14ac:dyDescent="0.25"/>
  <cols>
    <col min="1" max="1" width="22.85546875" bestFit="1" customWidth="1"/>
    <col min="2" max="2" width="25.85546875" style="3" bestFit="1" customWidth="1"/>
    <col min="3" max="3" width="23.85546875" style="3" customWidth="1"/>
    <col min="4" max="4" width="12.28515625" bestFit="1" customWidth="1"/>
  </cols>
  <sheetData>
    <row r="1" spans="1:4" ht="18.75" x14ac:dyDescent="0.3">
      <c r="A1" s="2" t="s">
        <v>54</v>
      </c>
    </row>
    <row r="2" spans="1:4" x14ac:dyDescent="0.25">
      <c r="A2" s="1" t="s">
        <v>6</v>
      </c>
    </row>
    <row r="3" spans="1:4" x14ac:dyDescent="0.25">
      <c r="A3" s="1" t="s">
        <v>4</v>
      </c>
      <c r="B3" s="4" t="s">
        <v>3</v>
      </c>
      <c r="C3" s="4"/>
      <c r="D3" s="1" t="s">
        <v>239</v>
      </c>
    </row>
    <row r="4" spans="1:4" x14ac:dyDescent="0.25">
      <c r="A4" t="s">
        <v>55</v>
      </c>
      <c r="B4" s="11"/>
      <c r="D4" t="s">
        <v>63</v>
      </c>
    </row>
    <row r="5" spans="1:4" x14ac:dyDescent="0.25">
      <c r="A5" t="s">
        <v>56</v>
      </c>
      <c r="B5" s="11"/>
      <c r="D5" t="s">
        <v>57</v>
      </c>
    </row>
    <row r="6" spans="1:4" x14ac:dyDescent="0.25">
      <c r="A6" t="s">
        <v>58</v>
      </c>
      <c r="B6" s="11"/>
      <c r="D6" t="s">
        <v>242</v>
      </c>
    </row>
    <row r="7" spans="1:4" x14ac:dyDescent="0.25">
      <c r="A7" t="s">
        <v>193</v>
      </c>
      <c r="B7" s="12"/>
      <c r="D7" t="s">
        <v>243</v>
      </c>
    </row>
    <row r="8" spans="1:4" x14ac:dyDescent="0.25">
      <c r="A8" t="s">
        <v>244</v>
      </c>
      <c r="B8" s="8"/>
      <c r="D8" t="s">
        <v>245</v>
      </c>
    </row>
  </sheetData>
  <sheetProtection sheet="1" objects="1" scenarios="1"/>
  <protectedRanges>
    <protectedRange sqref="B4:B8" name="sample"/>
  </protectedRanges>
  <dataValidations count="8">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sqref="B4" xr:uid="{2CDFC41C-F2B4-4B24-AEE5-EB0D2E125371}"/>
    <dataValidation allowBlank="1" showInputMessage="1" showErrorMessage="1" promptTitle="Sample name" prompt="User description of the sample, no restrictions on input." sqref="B5" xr:uid="{DCDB5A9B-E609-4C7D-A79F-8CB1EE5CC66F}"/>
    <dataValidation allowBlank="1" showInputMessage="1" showErrorMessage="1" promptTitle="Submitter By" prompt="Unique identifier for user and/or laboratory that submits the data. Typically user email." sqref="B7" xr:uid="{BE995708-63E4-4A7C-82C6-00E39CF7A4D8}"/>
    <dataValidation allowBlank="1" showInputMessage="1" showErrorMessage="1" promptTitle="Sample Source" prompt="If information related to the sample collection/description used has been published in peer reviewed literature, include the DOI for the publication. If not, leave blank." sqref="B8" xr:uid="{BE5EE430-89DD-419B-AC15-3D128DC6448C}"/>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375C6116-F74C-48BC-BD1C-666DEB57D471}">
          <x14:formula1>
            <xm:f>Input_Validation!$A$3:$A$17</xm:f>
          </x14:formula1>
          <xm:sqref>B6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071C1-9014-406E-B23D-2FA31838F5A7}">
  <sheetPr codeName="Sheet2"/>
  <dimension ref="A2:B158"/>
  <sheetViews>
    <sheetView workbookViewId="0"/>
  </sheetViews>
  <sheetFormatPr defaultRowHeight="15" x14ac:dyDescent="0.25"/>
  <sheetData>
    <row r="2" spans="1:2" x14ac:dyDescent="0.25">
      <c r="A2" t="s">
        <v>255</v>
      </c>
      <c r="B2" t="s">
        <v>256</v>
      </c>
    </row>
    <row r="3" spans="1:2" x14ac:dyDescent="0.25">
      <c r="A3" t="s">
        <v>63</v>
      </c>
      <c r="B3" t="s">
        <v>292</v>
      </c>
    </row>
    <row r="4" spans="1:2" x14ac:dyDescent="0.25">
      <c r="A4" t="s">
        <v>57</v>
      </c>
      <c r="B4" t="s">
        <v>293</v>
      </c>
    </row>
    <row r="5" spans="1:2" x14ac:dyDescent="0.25">
      <c r="A5" t="s">
        <v>242</v>
      </c>
      <c r="B5" t="s">
        <v>294</v>
      </c>
    </row>
    <row r="6" spans="1:2" x14ac:dyDescent="0.25">
      <c r="A6" t="s">
        <v>243</v>
      </c>
      <c r="B6" t="s">
        <v>257</v>
      </c>
    </row>
    <row r="9" spans="1:2" x14ac:dyDescent="0.25">
      <c r="A9" t="s">
        <v>258</v>
      </c>
      <c r="B9" t="s">
        <v>256</v>
      </c>
    </row>
    <row r="10" spans="1:2" x14ac:dyDescent="0.25">
      <c r="A10" t="s">
        <v>144</v>
      </c>
      <c r="B10" t="s">
        <v>259</v>
      </c>
    </row>
    <row r="11" spans="1:2" x14ac:dyDescent="0.25">
      <c r="A11" t="s">
        <v>29</v>
      </c>
      <c r="B11" t="s">
        <v>295</v>
      </c>
    </row>
    <row r="12" spans="1:2" x14ac:dyDescent="0.25">
      <c r="A12" t="s">
        <v>143</v>
      </c>
      <c r="B12" t="s">
        <v>296</v>
      </c>
    </row>
    <row r="13" spans="1:2" x14ac:dyDescent="0.25">
      <c r="A13" t="s">
        <v>133</v>
      </c>
      <c r="B13" t="s">
        <v>260</v>
      </c>
    </row>
    <row r="14" spans="1:2" x14ac:dyDescent="0.25">
      <c r="A14" t="s">
        <v>15</v>
      </c>
      <c r="B14" t="s">
        <v>297</v>
      </c>
    </row>
    <row r="15" spans="1:2" x14ac:dyDescent="0.25">
      <c r="A15" t="s">
        <v>16</v>
      </c>
      <c r="B15" t="s">
        <v>263</v>
      </c>
    </row>
    <row r="16" spans="1:2" x14ac:dyDescent="0.25">
      <c r="A16" t="s">
        <v>145</v>
      </c>
      <c r="B16" t="s">
        <v>262</v>
      </c>
    </row>
    <row r="17" spans="1:2" x14ac:dyDescent="0.25">
      <c r="A17" t="s">
        <v>17</v>
      </c>
      <c r="B17" t="s">
        <v>261</v>
      </c>
    </row>
    <row r="18" spans="1:2" x14ac:dyDescent="0.25">
      <c r="A18" t="s">
        <v>18</v>
      </c>
      <c r="B18" t="s">
        <v>263</v>
      </c>
    </row>
    <row r="19" spans="1:2" x14ac:dyDescent="0.25">
      <c r="A19" t="s">
        <v>19</v>
      </c>
      <c r="B19" t="s">
        <v>263</v>
      </c>
    </row>
    <row r="20" spans="1:2" x14ac:dyDescent="0.25">
      <c r="A20" t="s">
        <v>20</v>
      </c>
      <c r="B20" t="s">
        <v>263</v>
      </c>
    </row>
    <row r="21" spans="1:2" x14ac:dyDescent="0.25">
      <c r="A21" t="s">
        <v>21</v>
      </c>
      <c r="B21" t="s">
        <v>263</v>
      </c>
    </row>
    <row r="22" spans="1:2" x14ac:dyDescent="0.25">
      <c r="A22" t="s">
        <v>148</v>
      </c>
      <c r="B22" t="s">
        <v>264</v>
      </c>
    </row>
    <row r="23" spans="1:2" x14ac:dyDescent="0.25">
      <c r="A23" t="s">
        <v>22</v>
      </c>
      <c r="B23" t="s">
        <v>298</v>
      </c>
    </row>
    <row r="24" spans="1:2" x14ac:dyDescent="0.25">
      <c r="A24" t="s">
        <v>23</v>
      </c>
      <c r="B24" t="s">
        <v>299</v>
      </c>
    </row>
    <row r="25" spans="1:2" x14ac:dyDescent="0.25">
      <c r="A25" t="s">
        <v>24</v>
      </c>
      <c r="B25">
        <v>4.5999999999999996</v>
      </c>
    </row>
    <row r="26" spans="1:2" x14ac:dyDescent="0.25">
      <c r="A26" t="s">
        <v>25</v>
      </c>
      <c r="B26">
        <v>100</v>
      </c>
    </row>
    <row r="27" spans="1:2" x14ac:dyDescent="0.25">
      <c r="A27" t="s">
        <v>26</v>
      </c>
      <c r="B27">
        <v>3.5</v>
      </c>
    </row>
    <row r="28" spans="1:2" x14ac:dyDescent="0.25">
      <c r="A28" t="s">
        <v>147</v>
      </c>
      <c r="B28" t="s">
        <v>264</v>
      </c>
    </row>
    <row r="29" spans="1:2" x14ac:dyDescent="0.25">
      <c r="A29" t="s">
        <v>151</v>
      </c>
      <c r="B29" t="s">
        <v>300</v>
      </c>
    </row>
    <row r="30" spans="1:2" x14ac:dyDescent="0.25">
      <c r="A30" t="s">
        <v>150</v>
      </c>
      <c r="B30" t="s">
        <v>301</v>
      </c>
    </row>
    <row r="31" spans="1:2" x14ac:dyDescent="0.25">
      <c r="A31" t="s">
        <v>175</v>
      </c>
      <c r="B31">
        <v>4.5999999999999996</v>
      </c>
    </row>
    <row r="32" spans="1:2" x14ac:dyDescent="0.25">
      <c r="A32" t="s">
        <v>176</v>
      </c>
      <c r="B32">
        <v>25</v>
      </c>
    </row>
    <row r="33" spans="1:2" x14ac:dyDescent="0.25">
      <c r="A33" t="s">
        <v>177</v>
      </c>
      <c r="B33">
        <v>5</v>
      </c>
    </row>
    <row r="36" spans="1:2" x14ac:dyDescent="0.25">
      <c r="A36" t="s">
        <v>265</v>
      </c>
      <c r="B36" t="s">
        <v>256</v>
      </c>
    </row>
    <row r="37" spans="1:2" x14ac:dyDescent="0.25">
      <c r="A37" t="s">
        <v>141</v>
      </c>
      <c r="B37" t="s">
        <v>302</v>
      </c>
    </row>
    <row r="38" spans="1:2" x14ac:dyDescent="0.25">
      <c r="A38" t="s">
        <v>140</v>
      </c>
      <c r="B38" t="s">
        <v>303</v>
      </c>
    </row>
    <row r="39" spans="1:2" x14ac:dyDescent="0.25">
      <c r="A39" t="s">
        <v>246</v>
      </c>
      <c r="B39" t="s">
        <v>266</v>
      </c>
    </row>
    <row r="40" spans="1:2" x14ac:dyDescent="0.25">
      <c r="A40" t="s">
        <v>36</v>
      </c>
      <c r="B40" t="s">
        <v>304</v>
      </c>
    </row>
    <row r="41" spans="1:2" x14ac:dyDescent="0.25">
      <c r="A41" t="s">
        <v>247</v>
      </c>
      <c r="B41">
        <v>5500</v>
      </c>
    </row>
    <row r="42" spans="1:2" x14ac:dyDescent="0.25">
      <c r="A42" t="s">
        <v>39</v>
      </c>
      <c r="B42" t="s">
        <v>267</v>
      </c>
    </row>
    <row r="43" spans="1:2" x14ac:dyDescent="0.25">
      <c r="A43" t="s">
        <v>42</v>
      </c>
      <c r="B43" t="s">
        <v>268</v>
      </c>
    </row>
    <row r="44" spans="1:2" x14ac:dyDescent="0.25">
      <c r="A44" t="s">
        <v>45</v>
      </c>
      <c r="B44" t="s">
        <v>305</v>
      </c>
    </row>
    <row r="45" spans="1:2" x14ac:dyDescent="0.25">
      <c r="A45" t="s">
        <v>47</v>
      </c>
      <c r="B45" t="s">
        <v>306</v>
      </c>
    </row>
    <row r="46" spans="1:2" x14ac:dyDescent="0.25">
      <c r="A46" t="s">
        <v>248</v>
      </c>
      <c r="B46">
        <v>60</v>
      </c>
    </row>
    <row r="47" spans="1:2" x14ac:dyDescent="0.25">
      <c r="A47" t="s">
        <v>249</v>
      </c>
      <c r="B47" t="s">
        <v>269</v>
      </c>
    </row>
    <row r="48" spans="1:2" x14ac:dyDescent="0.25">
      <c r="A48" t="s">
        <v>250</v>
      </c>
      <c r="B48" t="s">
        <v>267</v>
      </c>
    </row>
    <row r="49" spans="1:2" x14ac:dyDescent="0.25">
      <c r="A49" t="s">
        <v>60</v>
      </c>
      <c r="B49" t="s">
        <v>270</v>
      </c>
    </row>
    <row r="50" spans="1:2" x14ac:dyDescent="0.25">
      <c r="A50" t="s">
        <v>62</v>
      </c>
      <c r="B50">
        <v>1</v>
      </c>
    </row>
    <row r="51" spans="1:2" x14ac:dyDescent="0.25">
      <c r="A51" t="s">
        <v>134</v>
      </c>
      <c r="B51">
        <v>6</v>
      </c>
    </row>
    <row r="52" spans="1:2" x14ac:dyDescent="0.25">
      <c r="A52" t="s">
        <v>137</v>
      </c>
      <c r="B52">
        <v>35000</v>
      </c>
    </row>
    <row r="53" spans="1:2" x14ac:dyDescent="0.25">
      <c r="A53" t="s">
        <v>138</v>
      </c>
      <c r="B53">
        <v>25000</v>
      </c>
    </row>
    <row r="56" spans="1:2" x14ac:dyDescent="0.25">
      <c r="A56" t="s">
        <v>271</v>
      </c>
      <c r="B56" t="s">
        <v>256</v>
      </c>
    </row>
    <row r="57" spans="1:2" x14ac:dyDescent="0.25">
      <c r="A57" t="s">
        <v>307</v>
      </c>
      <c r="B57" t="s">
        <v>273</v>
      </c>
    </row>
    <row r="58" spans="1:2" x14ac:dyDescent="0.25">
      <c r="A58" t="s">
        <v>52</v>
      </c>
      <c r="B58" t="s">
        <v>256</v>
      </c>
    </row>
    <row r="59" spans="1:2" x14ac:dyDescent="0.25">
      <c r="A59" t="s">
        <v>63</v>
      </c>
      <c r="B59" t="s">
        <v>274</v>
      </c>
    </row>
    <row r="60" spans="1:2" x14ac:dyDescent="0.25">
      <c r="A60" t="s">
        <v>272</v>
      </c>
      <c r="B60" t="s">
        <v>273</v>
      </c>
    </row>
    <row r="62" spans="1:2" x14ac:dyDescent="0.25">
      <c r="A62" t="s">
        <v>52</v>
      </c>
      <c r="B62" t="s">
        <v>256</v>
      </c>
    </row>
    <row r="63" spans="1:2" x14ac:dyDescent="0.25">
      <c r="A63" t="s">
        <v>63</v>
      </c>
      <c r="B63" t="s">
        <v>275</v>
      </c>
    </row>
    <row r="64" spans="1:2" x14ac:dyDescent="0.25">
      <c r="A64" t="s">
        <v>272</v>
      </c>
      <c r="B64" t="s">
        <v>277</v>
      </c>
    </row>
    <row r="66" spans="1:2" x14ac:dyDescent="0.25">
      <c r="A66" t="s">
        <v>52</v>
      </c>
      <c r="B66" t="s">
        <v>256</v>
      </c>
    </row>
    <row r="67" spans="1:2" x14ac:dyDescent="0.25">
      <c r="A67" t="s">
        <v>63</v>
      </c>
      <c r="B67" t="s">
        <v>276</v>
      </c>
    </row>
    <row r="68" spans="1:2" x14ac:dyDescent="0.25">
      <c r="A68" t="s">
        <v>272</v>
      </c>
      <c r="B68" t="s">
        <v>277</v>
      </c>
    </row>
    <row r="70" spans="1:2" x14ac:dyDescent="0.25">
      <c r="A70" t="s">
        <v>52</v>
      </c>
      <c r="B70" t="s">
        <v>256</v>
      </c>
    </row>
    <row r="71" spans="1:2" x14ac:dyDescent="0.25">
      <c r="A71" t="s">
        <v>63</v>
      </c>
      <c r="B71" t="s">
        <v>278</v>
      </c>
    </row>
    <row r="72" spans="1:2" x14ac:dyDescent="0.25">
      <c r="A72" t="s">
        <v>272</v>
      </c>
      <c r="B72" t="s">
        <v>277</v>
      </c>
    </row>
    <row r="75" spans="1:2" x14ac:dyDescent="0.25">
      <c r="A75" t="s">
        <v>279</v>
      </c>
      <c r="B75" t="s">
        <v>256</v>
      </c>
    </row>
    <row r="76" spans="1:2" x14ac:dyDescent="0.25">
      <c r="A76" t="s">
        <v>280</v>
      </c>
      <c r="B76" t="s">
        <v>256</v>
      </c>
    </row>
    <row r="77" spans="1:2" x14ac:dyDescent="0.25">
      <c r="A77" t="s">
        <v>281</v>
      </c>
      <c r="B77">
        <v>1</v>
      </c>
    </row>
    <row r="78" spans="1:2" x14ac:dyDescent="0.25">
      <c r="A78" t="s">
        <v>63</v>
      </c>
      <c r="B78" t="s">
        <v>308</v>
      </c>
    </row>
    <row r="79" spans="1:2" x14ac:dyDescent="0.25">
      <c r="A79" t="s">
        <v>282</v>
      </c>
      <c r="B79">
        <v>3611</v>
      </c>
    </row>
    <row r="80" spans="1:2" x14ac:dyDescent="0.25">
      <c r="A80" t="s">
        <v>283</v>
      </c>
      <c r="B80" t="s">
        <v>309</v>
      </c>
    </row>
    <row r="81" spans="1:2" x14ac:dyDescent="0.25">
      <c r="A81" t="s">
        <v>64</v>
      </c>
      <c r="B81">
        <v>529.08149414062495</v>
      </c>
    </row>
    <row r="82" spans="1:2" x14ac:dyDescent="0.25">
      <c r="A82" t="s">
        <v>65</v>
      </c>
      <c r="B82">
        <v>17.0093</v>
      </c>
    </row>
    <row r="83" spans="1:2" x14ac:dyDescent="0.25">
      <c r="A83" t="s">
        <v>66</v>
      </c>
      <c r="B83">
        <v>16.8</v>
      </c>
    </row>
    <row r="84" spans="1:2" x14ac:dyDescent="0.25">
      <c r="A84" t="s">
        <v>67</v>
      </c>
      <c r="B84">
        <v>17.27</v>
      </c>
    </row>
    <row r="85" spans="1:2" x14ac:dyDescent="0.25">
      <c r="A85" t="s">
        <v>284</v>
      </c>
      <c r="B85" t="s">
        <v>277</v>
      </c>
    </row>
    <row r="87" spans="1:2" x14ac:dyDescent="0.25">
      <c r="A87" t="s">
        <v>280</v>
      </c>
      <c r="B87" t="s">
        <v>256</v>
      </c>
    </row>
    <row r="88" spans="1:2" x14ac:dyDescent="0.25">
      <c r="A88" t="s">
        <v>281</v>
      </c>
      <c r="B88">
        <v>2</v>
      </c>
    </row>
    <row r="89" spans="1:2" x14ac:dyDescent="0.25">
      <c r="A89" t="s">
        <v>63</v>
      </c>
      <c r="B89" t="s">
        <v>310</v>
      </c>
    </row>
    <row r="90" spans="1:2" x14ac:dyDescent="0.25">
      <c r="A90" t="s">
        <v>282</v>
      </c>
      <c r="B90">
        <v>3727</v>
      </c>
    </row>
    <row r="91" spans="1:2" x14ac:dyDescent="0.25">
      <c r="A91" t="s">
        <v>283</v>
      </c>
      <c r="B91" t="s">
        <v>309</v>
      </c>
    </row>
    <row r="92" spans="1:2" x14ac:dyDescent="0.25">
      <c r="A92" t="s">
        <v>64</v>
      </c>
      <c r="B92">
        <v>573.10614013671795</v>
      </c>
    </row>
    <row r="93" spans="1:2" x14ac:dyDescent="0.25">
      <c r="A93" t="s">
        <v>65</v>
      </c>
      <c r="B93">
        <v>17.546066666666999</v>
      </c>
    </row>
    <row r="94" spans="1:2" x14ac:dyDescent="0.25">
      <c r="A94" t="s">
        <v>66</v>
      </c>
      <c r="B94">
        <v>17.329999999999998</v>
      </c>
    </row>
    <row r="95" spans="1:2" x14ac:dyDescent="0.25">
      <c r="A95" t="s">
        <v>67</v>
      </c>
      <c r="B95">
        <v>17.813400000000001</v>
      </c>
    </row>
    <row r="96" spans="1:2" x14ac:dyDescent="0.25">
      <c r="A96" t="s">
        <v>284</v>
      </c>
      <c r="B96" t="s">
        <v>277</v>
      </c>
    </row>
    <row r="98" spans="1:2" x14ac:dyDescent="0.25">
      <c r="A98" t="s">
        <v>280</v>
      </c>
      <c r="B98" t="s">
        <v>256</v>
      </c>
    </row>
    <row r="99" spans="1:2" x14ac:dyDescent="0.25">
      <c r="A99" t="s">
        <v>281</v>
      </c>
      <c r="B99">
        <v>3</v>
      </c>
    </row>
    <row r="100" spans="1:2" x14ac:dyDescent="0.25">
      <c r="A100" t="s">
        <v>63</v>
      </c>
      <c r="B100" t="s">
        <v>311</v>
      </c>
    </row>
    <row r="101" spans="1:2" x14ac:dyDescent="0.25">
      <c r="A101" t="s">
        <v>282</v>
      </c>
      <c r="B101">
        <v>3633</v>
      </c>
    </row>
    <row r="102" spans="1:2" x14ac:dyDescent="0.25">
      <c r="A102" t="s">
        <v>283</v>
      </c>
      <c r="B102" t="s">
        <v>309</v>
      </c>
    </row>
    <row r="103" spans="1:2" x14ac:dyDescent="0.25">
      <c r="A103" t="s">
        <v>64</v>
      </c>
      <c r="B103">
        <v>499.07141876220697</v>
      </c>
    </row>
    <row r="104" spans="1:2" x14ac:dyDescent="0.25">
      <c r="A104" t="s">
        <v>65</v>
      </c>
      <c r="B104">
        <v>17.116233333333</v>
      </c>
    </row>
    <row r="105" spans="1:2" x14ac:dyDescent="0.25">
      <c r="A105" t="s">
        <v>66</v>
      </c>
      <c r="B105">
        <v>17</v>
      </c>
    </row>
    <row r="106" spans="1:2" x14ac:dyDescent="0.25">
      <c r="A106" t="s">
        <v>67</v>
      </c>
      <c r="B106">
        <v>17.276983333333</v>
      </c>
    </row>
    <row r="107" spans="1:2" x14ac:dyDescent="0.25">
      <c r="A107" t="s">
        <v>284</v>
      </c>
      <c r="B107" t="s">
        <v>277</v>
      </c>
    </row>
    <row r="110" spans="1:2" x14ac:dyDescent="0.25">
      <c r="A110" t="s">
        <v>285</v>
      </c>
      <c r="B110" t="s">
        <v>256</v>
      </c>
    </row>
    <row r="111" spans="1:2" x14ac:dyDescent="0.25">
      <c r="A111" t="s">
        <v>286</v>
      </c>
      <c r="B111" t="s">
        <v>256</v>
      </c>
    </row>
    <row r="112" spans="1:2" x14ac:dyDescent="0.25">
      <c r="A112" t="s">
        <v>63</v>
      </c>
      <c r="B112" t="s">
        <v>308</v>
      </c>
    </row>
    <row r="113" spans="1:2" x14ac:dyDescent="0.25">
      <c r="A113" t="s">
        <v>287</v>
      </c>
      <c r="B113" t="s">
        <v>256</v>
      </c>
    </row>
    <row r="114" spans="1:2" x14ac:dyDescent="0.25">
      <c r="A114" t="s">
        <v>288</v>
      </c>
      <c r="B114">
        <v>58.0672</v>
      </c>
    </row>
    <row r="115" spans="1:2" x14ac:dyDescent="0.25">
      <c r="A115" t="s">
        <v>289</v>
      </c>
      <c r="B115" t="s">
        <v>312</v>
      </c>
    </row>
    <row r="116" spans="1:2" x14ac:dyDescent="0.25">
      <c r="A116" t="s">
        <v>290</v>
      </c>
      <c r="B116" t="s">
        <v>256</v>
      </c>
    </row>
    <row r="117" spans="1:2" x14ac:dyDescent="0.25">
      <c r="A117" t="s">
        <v>291</v>
      </c>
      <c r="B117" t="s">
        <v>277</v>
      </c>
    </row>
    <row r="120" spans="1:2" x14ac:dyDescent="0.25">
      <c r="A120" t="s">
        <v>287</v>
      </c>
      <c r="B120" t="s">
        <v>256</v>
      </c>
    </row>
    <row r="121" spans="1:2" x14ac:dyDescent="0.25">
      <c r="A121" t="s">
        <v>288</v>
      </c>
      <c r="B121">
        <v>90.091099999999997</v>
      </c>
    </row>
    <row r="122" spans="1:2" x14ac:dyDescent="0.25">
      <c r="A122" t="s">
        <v>289</v>
      </c>
      <c r="B122" t="s">
        <v>313</v>
      </c>
    </row>
    <row r="123" spans="1:2" x14ac:dyDescent="0.25">
      <c r="A123" t="s">
        <v>290</v>
      </c>
      <c r="B123" t="s">
        <v>256</v>
      </c>
    </row>
    <row r="124" spans="1:2" x14ac:dyDescent="0.25">
      <c r="A124" t="s">
        <v>291</v>
      </c>
      <c r="B124" t="s">
        <v>277</v>
      </c>
    </row>
    <row r="128" spans="1:2" x14ac:dyDescent="0.25">
      <c r="A128" t="s">
        <v>286</v>
      </c>
      <c r="B128" t="s">
        <v>256</v>
      </c>
    </row>
    <row r="129" spans="1:2" x14ac:dyDescent="0.25">
      <c r="A129" t="s">
        <v>63</v>
      </c>
      <c r="B129" t="s">
        <v>310</v>
      </c>
    </row>
    <row r="130" spans="1:2" x14ac:dyDescent="0.25">
      <c r="A130" t="s">
        <v>287</v>
      </c>
      <c r="B130" t="s">
        <v>256</v>
      </c>
    </row>
    <row r="131" spans="1:2" x14ac:dyDescent="0.25">
      <c r="A131" t="s">
        <v>288</v>
      </c>
      <c r="B131">
        <v>70.065700000000007</v>
      </c>
    </row>
    <row r="132" spans="1:2" x14ac:dyDescent="0.25">
      <c r="A132" t="s">
        <v>289</v>
      </c>
      <c r="B132" t="s">
        <v>314</v>
      </c>
    </row>
    <row r="133" spans="1:2" x14ac:dyDescent="0.25">
      <c r="A133" t="s">
        <v>290</v>
      </c>
      <c r="B133" t="s">
        <v>256</v>
      </c>
    </row>
    <row r="134" spans="1:2" x14ac:dyDescent="0.25">
      <c r="A134" t="s">
        <v>291</v>
      </c>
      <c r="B134" t="s">
        <v>277</v>
      </c>
    </row>
    <row r="137" spans="1:2" x14ac:dyDescent="0.25">
      <c r="A137" t="s">
        <v>287</v>
      </c>
      <c r="B137" t="s">
        <v>256</v>
      </c>
    </row>
    <row r="138" spans="1:2" x14ac:dyDescent="0.25">
      <c r="A138" t="s">
        <v>288</v>
      </c>
      <c r="B138">
        <v>159.14779999999999</v>
      </c>
    </row>
    <row r="139" spans="1:2" x14ac:dyDescent="0.25">
      <c r="A139" t="s">
        <v>289</v>
      </c>
      <c r="B139" t="s">
        <v>315</v>
      </c>
    </row>
    <row r="140" spans="1:2" x14ac:dyDescent="0.25">
      <c r="A140" t="s">
        <v>290</v>
      </c>
      <c r="B140" t="s">
        <v>256</v>
      </c>
    </row>
    <row r="141" spans="1:2" x14ac:dyDescent="0.25">
      <c r="A141" t="s">
        <v>291</v>
      </c>
      <c r="B141" t="s">
        <v>277</v>
      </c>
    </row>
    <row r="145" spans="1:2" x14ac:dyDescent="0.25">
      <c r="A145" t="s">
        <v>286</v>
      </c>
      <c r="B145" t="s">
        <v>256</v>
      </c>
    </row>
    <row r="146" spans="1:2" x14ac:dyDescent="0.25">
      <c r="A146" t="s">
        <v>63</v>
      </c>
      <c r="B146" t="s">
        <v>311</v>
      </c>
    </row>
    <row r="147" spans="1:2" x14ac:dyDescent="0.25">
      <c r="A147" t="s">
        <v>287</v>
      </c>
      <c r="B147" t="s">
        <v>256</v>
      </c>
    </row>
    <row r="148" spans="1:2" x14ac:dyDescent="0.25">
      <c r="A148" t="s">
        <v>288</v>
      </c>
      <c r="B148">
        <v>58.066099999999999</v>
      </c>
    </row>
    <row r="149" spans="1:2" x14ac:dyDescent="0.25">
      <c r="A149" t="s">
        <v>289</v>
      </c>
      <c r="B149" t="s">
        <v>312</v>
      </c>
    </row>
    <row r="150" spans="1:2" x14ac:dyDescent="0.25">
      <c r="A150" t="s">
        <v>290</v>
      </c>
      <c r="B150" t="s">
        <v>256</v>
      </c>
    </row>
    <row r="151" spans="1:2" x14ac:dyDescent="0.25">
      <c r="A151" t="s">
        <v>291</v>
      </c>
      <c r="B151" t="s">
        <v>277</v>
      </c>
    </row>
    <row r="154" spans="1:2" x14ac:dyDescent="0.25">
      <c r="A154" t="s">
        <v>287</v>
      </c>
      <c r="B154" t="s">
        <v>256</v>
      </c>
    </row>
    <row r="155" spans="1:2" x14ac:dyDescent="0.25">
      <c r="A155" t="s">
        <v>288</v>
      </c>
      <c r="B155">
        <v>60.082299999999996</v>
      </c>
    </row>
    <row r="156" spans="1:2" x14ac:dyDescent="0.25">
      <c r="A156" t="s">
        <v>289</v>
      </c>
      <c r="B156" t="s">
        <v>316</v>
      </c>
    </row>
    <row r="157" spans="1:2" x14ac:dyDescent="0.25">
      <c r="A157" t="s">
        <v>290</v>
      </c>
      <c r="B157" t="s">
        <v>256</v>
      </c>
    </row>
    <row r="158" spans="1:2" x14ac:dyDescent="0.25">
      <c r="A158" t="s">
        <v>291</v>
      </c>
      <c r="B158" t="s">
        <v>277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8"/>
  <sheetViews>
    <sheetView workbookViewId="0">
      <selection activeCell="F22" sqref="F22"/>
    </sheetView>
  </sheetViews>
  <sheetFormatPr defaultRowHeight="15" x14ac:dyDescent="0.25"/>
  <cols>
    <col min="1" max="1" width="47.85546875" bestFit="1" customWidth="1"/>
    <col min="2" max="2" width="23" style="3" customWidth="1"/>
    <col min="3" max="3" width="22.28515625" style="3" customWidth="1"/>
    <col min="4" max="4" width="14.7109375" bestFit="1" customWidth="1"/>
  </cols>
  <sheetData>
    <row r="1" spans="1:6" ht="18.75" x14ac:dyDescent="0.3">
      <c r="A1" s="2" t="s">
        <v>0</v>
      </c>
    </row>
    <row r="2" spans="1:6" x14ac:dyDescent="0.25">
      <c r="A2" s="1" t="s">
        <v>6</v>
      </c>
    </row>
    <row r="3" spans="1:6" x14ac:dyDescent="0.25">
      <c r="A3" s="1" t="s">
        <v>4</v>
      </c>
      <c r="B3" s="4" t="s">
        <v>3</v>
      </c>
      <c r="C3" s="4"/>
      <c r="D3" s="1" t="s">
        <v>239</v>
      </c>
    </row>
    <row r="4" spans="1:6" x14ac:dyDescent="0.25">
      <c r="A4" t="s">
        <v>5</v>
      </c>
      <c r="B4" s="11"/>
      <c r="D4" t="s">
        <v>144</v>
      </c>
    </row>
    <row r="5" spans="1:6" x14ac:dyDescent="0.25">
      <c r="A5" t="s">
        <v>27</v>
      </c>
      <c r="B5" s="11"/>
      <c r="D5" t="s">
        <v>29</v>
      </c>
    </row>
    <row r="6" spans="1:6" x14ac:dyDescent="0.25">
      <c r="A6" t="s">
        <v>142</v>
      </c>
      <c r="B6" s="11"/>
      <c r="D6" t="s">
        <v>143</v>
      </c>
    </row>
    <row r="7" spans="1:6" x14ac:dyDescent="0.25">
      <c r="A7" t="s">
        <v>132</v>
      </c>
      <c r="B7" s="11"/>
      <c r="D7" t="s">
        <v>133</v>
      </c>
    </row>
    <row r="8" spans="1:6" x14ac:dyDescent="0.25">
      <c r="A8" t="s">
        <v>1</v>
      </c>
      <c r="B8" s="11"/>
      <c r="D8" t="s">
        <v>15</v>
      </c>
    </row>
    <row r="9" spans="1:6" x14ac:dyDescent="0.25">
      <c r="A9" t="s">
        <v>2</v>
      </c>
      <c r="B9" s="11"/>
      <c r="D9" t="s">
        <v>16</v>
      </c>
    </row>
    <row r="10" spans="1:6" x14ac:dyDescent="0.25">
      <c r="A10" t="s">
        <v>8</v>
      </c>
      <c r="B10" s="11"/>
      <c r="D10" t="s">
        <v>145</v>
      </c>
    </row>
    <row r="11" spans="1:6" x14ac:dyDescent="0.25">
      <c r="A11" t="s">
        <v>9</v>
      </c>
      <c r="B11" s="11"/>
      <c r="D11" t="s">
        <v>17</v>
      </c>
      <c r="F11" s="6"/>
    </row>
    <row r="12" spans="1:6" x14ac:dyDescent="0.25">
      <c r="A12" t="s">
        <v>10</v>
      </c>
      <c r="B12" s="11"/>
      <c r="D12" t="s">
        <v>18</v>
      </c>
    </row>
    <row r="13" spans="1:6" x14ac:dyDescent="0.25">
      <c r="A13" t="s">
        <v>11</v>
      </c>
      <c r="B13" s="11"/>
      <c r="D13" t="s">
        <v>19</v>
      </c>
    </row>
    <row r="14" spans="1:6" x14ac:dyDescent="0.25">
      <c r="A14" t="s">
        <v>12</v>
      </c>
      <c r="B14" s="11"/>
      <c r="D14" t="s">
        <v>20</v>
      </c>
    </row>
    <row r="15" spans="1:6" x14ac:dyDescent="0.25">
      <c r="A15" t="s">
        <v>13</v>
      </c>
      <c r="B15" s="11"/>
      <c r="D15" t="s">
        <v>21</v>
      </c>
    </row>
    <row r="16" spans="1:6" x14ac:dyDescent="0.25">
      <c r="A16" t="s">
        <v>179</v>
      </c>
      <c r="B16" s="11"/>
      <c r="D16" t="s">
        <v>148</v>
      </c>
    </row>
    <row r="17" spans="1:4" x14ac:dyDescent="0.25">
      <c r="A17" t="s">
        <v>185</v>
      </c>
      <c r="B17" s="11"/>
      <c r="D17" t="s">
        <v>22</v>
      </c>
    </row>
    <row r="18" spans="1:4" x14ac:dyDescent="0.25">
      <c r="A18" t="s">
        <v>180</v>
      </c>
      <c r="B18" s="11"/>
      <c r="D18" t="s">
        <v>23</v>
      </c>
    </row>
    <row r="19" spans="1:4" x14ac:dyDescent="0.25">
      <c r="A19" t="s">
        <v>181</v>
      </c>
      <c r="B19" s="11"/>
      <c r="D19" t="s">
        <v>24</v>
      </c>
    </row>
    <row r="20" spans="1:4" x14ac:dyDescent="0.25">
      <c r="A20" t="s">
        <v>182</v>
      </c>
      <c r="B20" s="11"/>
      <c r="D20" t="s">
        <v>25</v>
      </c>
    </row>
    <row r="21" spans="1:4" x14ac:dyDescent="0.25">
      <c r="A21" t="s">
        <v>183</v>
      </c>
      <c r="B21" s="11"/>
      <c r="D21" t="s">
        <v>26</v>
      </c>
    </row>
    <row r="22" spans="1:4" x14ac:dyDescent="0.25">
      <c r="A22" t="s">
        <v>146</v>
      </c>
      <c r="D22" t="s">
        <v>147</v>
      </c>
    </row>
    <row r="23" spans="1:4" x14ac:dyDescent="0.25">
      <c r="A23" t="s">
        <v>184</v>
      </c>
      <c r="D23" t="s">
        <v>151</v>
      </c>
    </row>
    <row r="24" spans="1:4" x14ac:dyDescent="0.25">
      <c r="A24" t="s">
        <v>149</v>
      </c>
      <c r="D24" t="s">
        <v>150</v>
      </c>
    </row>
    <row r="25" spans="1:4" x14ac:dyDescent="0.25">
      <c r="A25" t="s">
        <v>172</v>
      </c>
      <c r="D25" t="s">
        <v>175</v>
      </c>
    </row>
    <row r="26" spans="1:4" x14ac:dyDescent="0.25">
      <c r="A26" t="s">
        <v>173</v>
      </c>
      <c r="D26" t="s">
        <v>176</v>
      </c>
    </row>
    <row r="27" spans="1:4" x14ac:dyDescent="0.25">
      <c r="A27" t="s">
        <v>174</v>
      </c>
      <c r="D27" t="s">
        <v>177</v>
      </c>
    </row>
    <row r="28" spans="1:4" x14ac:dyDescent="0.25">
      <c r="A28" t="s">
        <v>252</v>
      </c>
      <c r="B28" s="8"/>
      <c r="D28" t="s">
        <v>245</v>
      </c>
    </row>
  </sheetData>
  <sheetProtection sheet="1" objects="1" scenarios="1"/>
  <protectedRanges>
    <protectedRange sqref="B4:B28" name="chromatography"/>
  </protectedRanges>
  <dataValidations count="28">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 xr:uid="{AD1A6E9A-9935-4225-BF2B-8DC9BF9171F5}"/>
    <dataValidation allowBlank="1" showErrorMessage="1" promptTitle="Chromatography Column Vendor" sqref="A16" xr:uid="{09015A4C-A8B3-4325-AE84-70762CABAFD2}"/>
    <dataValidation allowBlank="1" showErrorMessage="1" promptTitle="Name of Chromatography Column" sqref="A17" xr:uid="{D8FEE04C-0AC4-42FF-B7CE-A8EE838E5966}"/>
    <dataValidation allowBlank="1" showErrorMessage="1" promptTitle="Column phase" sqref="A18" xr:uid="{46321A32-1616-4D08-A185-2687955DC0DA}"/>
    <dataValidation allowBlank="1" showErrorMessage="1" promptTitle="Column Inner Diameter" sqref="A19" xr:uid="{6172C91F-25E6-4960-98C9-84AE9AA491AB}"/>
    <dataValidation allowBlank="1" showInputMessage="1" showErrorMessage="1" promptTitle="Column Length" sqref="A20" xr:uid="{5057E367-42B7-4882-AC35-2181FF17E8B7}"/>
    <dataValidation allowBlank="1" showErrorMessage="1" promptTitle="Particle Diameter/Film Thickness" prompt="." sqref="A21"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19"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0"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1"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17"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7"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23"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25"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6" xr:uid="{A556613B-B223-4F39-9307-76B27D7A8D1A}">
      <formula1>0</formula1>
      <formula2>500</formula2>
    </dataValidation>
    <dataValidation allowBlank="1" showInputMessage="1" showErrorMessage="1" promptTitle="Method Source" prompt="If information related to the chromatography method used has been published in peer reviewed literature, include the DOI for the publication. If not, leave blank." sqref="B28" xr:uid="{1E505403-5FB9-4A22-A5F5-BA01E4561017}"/>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5">
        <x14:dataValidation type="list" allowBlank="1" showInputMessage="1" showErrorMessage="1" promptTitle="Type of Chromatography" prompt="Type of Chromatography used for method." xr:uid="{33276D27-3AF3-4F0C-ADA0-6FA137D23B50}">
          <x14:formula1>
            <xm:f>Input_Validation!$B$3:$B$6</xm:f>
          </x14:formula1>
          <xm:sqref>B4</xm:sqref>
        </x14:dataValidation>
        <x14:dataValidation type="list" allowBlank="1" showInputMessage="1" showErrorMessage="1" promptTitle="Chromatograph Vendor" prompt="Vendor/Manufacturer of the chromatograph used" xr:uid="{996C782A-B601-4B80-939F-9268A20C11D5}">
          <x14:formula1>
            <xm:f>Input_Validation!$C$3:$C$9</xm:f>
          </x14:formula1>
          <xm:sqref>B5</xm:sqref>
        </x14:dataValidation>
        <x14:dataValidation type="list" allowBlank="1" showInputMessage="1" showErrorMessage="1" promptTitle="Sample Solvent" prompt="Primary solvent consistuent of the sample, as injected." xr:uid="{CC659C82-18C9-4347-861A-0FB4B7009EDF}">
          <x14:formula1>
            <xm:f>Input_Validation!$D$3:$D$11</xm:f>
          </x14:formula1>
          <xm:sqref>B7</xm:sqref>
        </x14:dataValidation>
        <x14:dataValidation type="list" allowBlank="1" showInputMessage="1" showErrorMessage="1" promptTitle="Mobile Phase 1 Solvent" prompt="The primary solvent component (&gt;= 50 %)of the chromatography mobile phase 1 (mobile phase A). Use 'none' if using GC or no chromatography." xr:uid="{CD774ACB-FDAE-42E9-80EB-DC326EB39A82}">
          <x14:formula1>
            <xm:f>Input_Validation!$E$3:$E$11</xm:f>
          </x14:formula1>
          <xm:sqref>B8</xm:sqref>
        </x14:dataValidation>
        <x14:dataValidation type="list" allowBlank="1" showInputMessage="1" showErrorMessage="1" promptTitle="Mobile Phase 1 Additive" prompt="The primary buffer/acid/base additive used in mobile phase 1 (mobile phase A)" xr:uid="{70DEB4F9-49B1-4631-BD45-02C2ED49D889}">
          <x14:formula1>
            <xm:f>Input_Validation!$F$3:$F$9</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C06B8548-FB7F-4F10-A031-29E731FAF328}">
          <x14:formula1>
            <xm:f>Input_Validation!$G$3:$G$11</xm:f>
          </x14:formula1>
          <xm:sqref>B10</xm:sqref>
        </x14:dataValidation>
        <x14:dataValidation type="list" allowBlank="1" showInputMessage="1" showErrorMessage="1" promptTitle="Mobile Phase 2 Additive" prompt="The primary buffer/acid/base additive used in mobile phase 2 (mobile phase B)" xr:uid="{3B0EEF07-B814-44E6-AF5A-BDBFE4F0AE9A}">
          <x14:formula1>
            <xm:f>Input_Validation!$H$3:$H$9</xm:f>
          </x14:formula1>
          <xm:sqref>B11</xm:sqref>
        </x14:dataValidation>
        <x14:dataValidation type="list" allowBlank="1" showInputMessage="1" showErrorMessage="1" promptTitle="Mobile Phase 3 Solvent" prompt="The primary solvent component (&gt;= 50 %)of the chromatography mobile phase 3 (mobile phase C). Use 'none' if using GC or no chromatography." xr:uid="{5157439B-C44E-44B3-8C3E-5472AE3525D1}">
          <x14:formula1>
            <xm:f>Input_Validation!$I$3:$I$11</xm:f>
          </x14:formula1>
          <xm:sqref>B12</xm:sqref>
        </x14:dataValidation>
        <x14:dataValidation type="list" allowBlank="1" showInputMessage="1" showErrorMessage="1" promptTitle="Mobile Phase 3 Additive" prompt="The primary buffer/acid/base additive used in mobile phase 3 (mobile phase C)" xr:uid="{A7B38D0D-2A1F-496A-9528-22E706B339F6}">
          <x14:formula1>
            <xm:f>Input_Validation!$J$3:$J$9</xm:f>
          </x14:formula1>
          <xm:sqref>B13</xm:sqref>
        </x14:dataValidation>
        <x14:dataValidation type="list" allowBlank="1" showInputMessage="1" showErrorMessage="1" promptTitle="Mobile Phase 4 Solvent" prompt="The primary solvent component (&gt;= 50 %)of the chromatography mobile phase 4 (mobile phase D). Use 'none' if using GC or no chromatography." xr:uid="{0A70200A-577C-4647-ABE0-478AD0B4B9E7}">
          <x14:formula1>
            <xm:f>Input_Validation!$K$3:$K$11</xm:f>
          </x14:formula1>
          <xm:sqref>B14</xm:sqref>
        </x14:dataValidation>
        <x14:dataValidation type="list" allowBlank="1" showInputMessage="1" showErrorMessage="1" promptTitle="Mobile Phase 4 Additive" prompt="The primary buffer/acid/base additive used in mobile phase 4 (mobile phase D)" xr:uid="{07A7D6A9-398E-41C6-9649-9280D1D33FAE}">
          <x14:formula1>
            <xm:f>Input_Validation!$L$3:$L$9</xm:f>
          </x14:formula1>
          <xm:sqref>B15</xm:sqref>
        </x14:dataValidation>
        <x14:dataValidation type="list" allowBlank="1" showInputMessage="1" showErrorMessage="1" promptTitle="Analytical Column Vendor" prompt="Vendor/Manufacturer of the analytical column" xr:uid="{8A9AF21F-BB99-4DCE-94F1-1C88A4DA91BD}">
          <x14:formula1>
            <xm:f>Input_Validation!$M$3:$M$10</xm:f>
          </x14:formula1>
          <xm:sqref>B16</xm:sqref>
        </x14:dataValidation>
        <x14:dataValidation type="list" allowBlank="1" showInputMessage="1" showErrorMessage="1" promptTitle="Analytical Column Phase" prompt="Stationary phase chemistry/ligand of the chromatography column" xr:uid="{5C7835BA-7453-4007-B0BC-BC2B34130A87}">
          <x14:formula1>
            <xm:f>Input_Validation!$N$3:$N$11</xm:f>
          </x14:formula1>
          <xm:sqref>B18</xm:sqref>
        </x14:dataValidation>
        <x14:dataValidation type="list" allowBlank="1" showInputMessage="1" showErrorMessage="1" promptTitle="Guard Column Vendor" prompt="Vendor/Manufacturer of the guard column, use &quot;none&quot; if not used." xr:uid="{6A0A3D2E-A4CF-48FA-B35C-3FB79D2AABF9}">
          <x14:formula1>
            <xm:f>Input_Validation!$O$3:$O$11</xm:f>
          </x14:formula1>
          <xm:sqref>B22</xm:sqref>
        </x14:dataValidation>
        <x14:dataValidation type="list" allowBlank="1" showInputMessage="1" showErrorMessage="1" promptTitle="Guard Column Phase" prompt="Stationary phase chemistry/ligand of the chromatography column, use 'none' if not used." xr:uid="{7F8970B7-B85D-47D0-859B-6F0781B90F1A}">
          <x14:formula1>
            <xm:f>Input_Validation!$P$3:$P$11</xm:f>
          </x14:formula1>
          <xm:sqref>B24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D21"/>
  <sheetViews>
    <sheetView workbookViewId="0">
      <selection activeCell="B19" sqref="B19"/>
    </sheetView>
  </sheetViews>
  <sheetFormatPr defaultRowHeight="15" x14ac:dyDescent="0.25"/>
  <cols>
    <col min="1" max="1" width="34.5703125" bestFit="1" customWidth="1"/>
    <col min="2" max="2" width="38.7109375" style="3" bestFit="1" customWidth="1"/>
    <col min="3" max="3" width="22.28515625" style="3" customWidth="1"/>
    <col min="4" max="4" width="14" bestFit="1" customWidth="1"/>
  </cols>
  <sheetData>
    <row r="1" spans="1:4" ht="18.75" x14ac:dyDescent="0.3">
      <c r="A1" s="2" t="s">
        <v>30</v>
      </c>
    </row>
    <row r="2" spans="1:4" x14ac:dyDescent="0.25">
      <c r="A2" s="1" t="s">
        <v>6</v>
      </c>
    </row>
    <row r="3" spans="1:4" x14ac:dyDescent="0.25">
      <c r="A3" s="1" t="s">
        <v>4</v>
      </c>
      <c r="B3" s="4" t="s">
        <v>3</v>
      </c>
      <c r="C3" s="4"/>
      <c r="D3" s="1" t="s">
        <v>239</v>
      </c>
    </row>
    <row r="4" spans="1:4" x14ac:dyDescent="0.25">
      <c r="A4" t="s">
        <v>31</v>
      </c>
      <c r="B4" s="11"/>
      <c r="D4" t="s">
        <v>141</v>
      </c>
    </row>
    <row r="5" spans="1:4" x14ac:dyDescent="0.25">
      <c r="A5" t="s">
        <v>139</v>
      </c>
      <c r="B5" s="11"/>
      <c r="D5" t="s">
        <v>140</v>
      </c>
    </row>
    <row r="6" spans="1:4" x14ac:dyDescent="0.25">
      <c r="A6" t="s">
        <v>32</v>
      </c>
      <c r="B6" s="11"/>
      <c r="D6" t="s">
        <v>246</v>
      </c>
    </row>
    <row r="7" spans="1:4" x14ac:dyDescent="0.25">
      <c r="A7" t="s">
        <v>34</v>
      </c>
      <c r="B7" s="11"/>
      <c r="D7" t="s">
        <v>36</v>
      </c>
    </row>
    <row r="8" spans="1:4" x14ac:dyDescent="0.25">
      <c r="A8" t="s">
        <v>240</v>
      </c>
      <c r="B8" s="11"/>
      <c r="D8" t="s">
        <v>247</v>
      </c>
    </row>
    <row r="9" spans="1:4" x14ac:dyDescent="0.25">
      <c r="A9" t="s">
        <v>37</v>
      </c>
      <c r="B9" s="11"/>
      <c r="D9" t="s">
        <v>39</v>
      </c>
    </row>
    <row r="10" spans="1:4" x14ac:dyDescent="0.25">
      <c r="A10" t="s">
        <v>40</v>
      </c>
      <c r="B10" s="11"/>
      <c r="D10" t="s">
        <v>42</v>
      </c>
    </row>
    <row r="11" spans="1:4" x14ac:dyDescent="0.25">
      <c r="A11" t="s">
        <v>43</v>
      </c>
      <c r="B11" s="11"/>
      <c r="D11" t="s">
        <v>45</v>
      </c>
    </row>
    <row r="12" spans="1:4" x14ac:dyDescent="0.25">
      <c r="A12" t="s">
        <v>186</v>
      </c>
      <c r="B12" s="11"/>
      <c r="D12" t="s">
        <v>47</v>
      </c>
    </row>
    <row r="13" spans="1:4" x14ac:dyDescent="0.25">
      <c r="A13" t="s">
        <v>241</v>
      </c>
      <c r="B13" s="11"/>
      <c r="D13" t="s">
        <v>248</v>
      </c>
    </row>
    <row r="14" spans="1:4" x14ac:dyDescent="0.25">
      <c r="A14" t="s">
        <v>188</v>
      </c>
      <c r="B14" s="11"/>
      <c r="D14" t="s">
        <v>249</v>
      </c>
    </row>
    <row r="15" spans="1:4" x14ac:dyDescent="0.25">
      <c r="A15" t="s">
        <v>189</v>
      </c>
      <c r="B15" s="11"/>
      <c r="D15" t="s">
        <v>250</v>
      </c>
    </row>
    <row r="16" spans="1:4" x14ac:dyDescent="0.25">
      <c r="A16" t="s">
        <v>59</v>
      </c>
      <c r="B16" s="11"/>
      <c r="D16" t="s">
        <v>60</v>
      </c>
    </row>
    <row r="17" spans="1:4" x14ac:dyDescent="0.25">
      <c r="A17" t="s">
        <v>61</v>
      </c>
      <c r="B17" s="11"/>
      <c r="D17" t="s">
        <v>62</v>
      </c>
    </row>
    <row r="18" spans="1:4" x14ac:dyDescent="0.25">
      <c r="A18" t="s">
        <v>190</v>
      </c>
      <c r="B18" s="11"/>
      <c r="D18" t="s">
        <v>134</v>
      </c>
    </row>
    <row r="19" spans="1:4" x14ac:dyDescent="0.25">
      <c r="A19" t="s">
        <v>135</v>
      </c>
      <c r="B19" s="11"/>
      <c r="D19" t="s">
        <v>137</v>
      </c>
    </row>
    <row r="20" spans="1:4" x14ac:dyDescent="0.25">
      <c r="A20" t="s">
        <v>136</v>
      </c>
      <c r="B20" s="11"/>
      <c r="D20" t="s">
        <v>138</v>
      </c>
    </row>
    <row r="21" spans="1:4" x14ac:dyDescent="0.25">
      <c r="A21" t="s">
        <v>251</v>
      </c>
      <c r="B21" s="15"/>
      <c r="D21" t="s">
        <v>245</v>
      </c>
    </row>
  </sheetData>
  <sheetProtection sheet="1" objects="1" scenarios="1"/>
  <protectedRanges>
    <protectedRange sqref="B4:B21" name="mass spectrometry"/>
  </protectedRanges>
  <dataValidations count="25">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allowBlank="1" showErrorMessage="1" promptTitle="Instrument Accuracy" sqref="A18" xr:uid="{F4E86A4B-9A81-44AF-90FF-F25F84A8723D}"/>
    <dataValidation allowBlank="1" showInputMessage="1" showErrorMessage="1" promptTitle="MS1 Resolution" sqref="A19" xr:uid="{77C4FC3E-3DA1-442C-B04D-E44F3BECA3F9}"/>
    <dataValidation allowBlank="1" showErrorMessage="1" promptTitle="MS2 Resolution" prompt="The resolution setting for the MS2 experiment" sqref="A20"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19" xr:uid="{953D9765-1F16-4D83-8DDF-523098792D43}"/>
    <dataValidation allowBlank="1" showInputMessage="1" showErrorMessage="1" prompt="The resolution setting for the MS2 experiment. Leave blank if MS2 was not performed." sqref="B20" xr:uid="{98C99FC3-A7EF-4E00-83E2-E5A682ECE208}"/>
    <dataValidation type="decimal" allowBlank="1" showInputMessage="1" showErrorMessage="1" promptTitle="Fragmentation Energy Value" prompt="Value of the fragmentation or collision energy used in the collision cell, if ranged/stepped separate values with semicolon (;). Indicate units below." sqref="B13" xr:uid="{B78F7D6E-FE3A-4F13-9EA7-25D8B0BB133D}">
      <formula1>0</formula1>
      <formula2>1000000</formula2>
    </dataValidation>
    <dataValidation type="decimal" allowBlank="1" showInputMessage="1" showErrorMessage="1" promptTitle="Ionization Voltage/Current Value" prompt="Voltage/current applied for ionization, use below cell to indicate units." sqref="B8" xr:uid="{5951695B-972A-4779-9A55-E6458BE1D490}">
      <formula1>0</formula1>
      <formula2>1000000</formula2>
    </dataValidation>
    <dataValidation allowBlank="1" showInputMessage="1" showErrorMessage="1" promptTitle="MS Method Source" prompt="If information related to the MS method used has been published in peer reviewed literature, include the DOI for the publication. If not, leave blank." sqref="B21" xr:uid="{81CCB33C-491E-4824-9F16-A7526B9198C6}"/>
  </dataValidations>
  <pageMargins left="0.7" right="0.7" top="0.75" bottom="0.75" header="0.3" footer="0.3"/>
  <extLst>
    <ext xmlns:x14="http://schemas.microsoft.com/office/spreadsheetml/2009/9/main" uri="{CCE6A557-97BC-4b89-ADB6-D9C93CAAB3DF}">
      <x14:dataValidations xmlns:xm="http://schemas.microsoft.com/office/excel/2006/main" count="10">
        <x14:dataValidation type="list" allowBlank="1" showInputMessage="1" showErrorMessage="1" promptTitle="Mass Spectrometer Vendor" prompt="Vendor/Manufacturer of the mass spectrometer used." xr:uid="{47ECBEA3-822F-4B73-9A4D-32E62B61BBF0}">
          <x14:formula1>
            <xm:f>Input_Validation!$Q$3:$Q$8</xm:f>
          </x14:formula1>
          <xm:sqref>B4</xm:sqref>
        </x14:dataValidation>
        <x14:dataValidation type="list" allowBlank="1" showInputMessage="1" showErrorMessage="1" promptTitle="Ionization Mode" prompt="Mode of ionization of the mass spectrometer." xr:uid="{7012CBBC-E83E-41F7-A276-FCB7F574F3E3}">
          <x14:formula1>
            <xm:f>Input_Validation!$R$3:$R$7</xm:f>
          </x14:formula1>
          <xm:sqref>B6</xm:sqref>
        </x14:dataValidation>
        <x14:dataValidation type="list" allowBlank="1" showInputMessage="1" showErrorMessage="1" promptTitle="Polarity" prompt="Polarity of the ionization for the submitted compounds (one ionization polarity per submission)." xr:uid="{E686BFB0-B819-4038-B9B9-B38CF32A2A80}">
          <x14:formula1>
            <xm:f>Input_Validation!$S$3:$S$4</xm:f>
          </x14:formula1>
          <xm:sqref>B7</xm:sqref>
        </x14:dataValidation>
        <x14:dataValidation type="list" allowBlank="1" showInputMessage="1" showErrorMessage="1" promptTitle="Ionization Voltage/Current Units" prompt="Units for the above-noted ionization voltage or current." xr:uid="{E5F6DADF-2EEA-40D4-96B6-3B1213971550}">
          <x14:formula1>
            <xm:f>Input_Validation!$T$3:$T$7</xm:f>
          </x14:formula1>
          <xm:sqref>B9</xm:sqref>
        </x14:dataValidation>
        <x14:dataValidation type="list" allowBlank="1" showInputMessage="1" showErrorMessage="1" promptTitle="First Mass Analyzer" prompt="First mass analyzer in the mass spectrometer." xr:uid="{6F78B77E-9123-478F-A600-E338A7666D0A}">
          <x14:formula1>
            <xm:f>Input_Validation!$U$3:$U$9</xm:f>
          </x14:formula1>
          <xm:sqref>B10</xm:sqref>
        </x14:dataValidation>
        <x14:dataValidation type="list" allowBlank="1" showInputMessage="1" showErrorMessage="1" promptTitle="Second Mass Analyzer" prompt="Last mass analyzer in the mass spectrometer. Use 'none' if only one mass analyzer was used." xr:uid="{A0ED6EDA-3303-48A3-9EF2-DF1E1338D692}">
          <x14:formula1>
            <xm:f>Input_Validation!$V$3:$V$9</xm:f>
          </x14:formula1>
          <xm:sqref>B11</xm:sqref>
        </x14:dataValidation>
        <x14:dataValidation type="list" allowBlank="1" showInputMessage="1" showErrorMessage="1" promptTitle="Fragmentation Type" prompt="Type of fragmentation (or collisional dissociation) used for the generation of fragments." xr:uid="{D2E5997F-A9CD-4813-B52C-C44067ADB3DC}">
          <x14:formula1>
            <xm:f>Input_Validation!$W$3:$W$6</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4573FA57-E721-4C25-AFAA-7B3092787386}">
          <x14:formula1>
            <xm:f>Input_Validation!$X$3:$X$4</xm:f>
          </x14:formula1>
          <xm:sqref>B14</xm:sqref>
        </x14:dataValidation>
        <x14:dataValidation type="list" allowBlank="1" showInputMessage="1" showErrorMessage="1" promptTitle="Fragmentation Energy Units" prompt="Units of the fragmentation/collision energy value above." xr:uid="{BBB994BB-E18F-4DB3-AD79-95271E01539B}">
          <x14:formula1>
            <xm:f>Input_Validation!$Y$3:$Y$4</xm:f>
          </x14:formula1>
          <xm:sqref>B15</xm:sqref>
        </x14:dataValidation>
        <x14:dataValidation type="list" allowBlank="1" showInputMessage="1" showErrorMessage="1" promptTitle="MS2 Experiment" prompt="Type of fragmentation/MS2 experiment." xr:uid="{FC39B8DB-DA91-4F3F-AB2A-7A494BEC5CEB}">
          <x14:formula1>
            <xm:f>Input_Validation!$Z$3:$Z$6</xm:f>
          </x14:formula1>
          <xm:sqref>B16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E8"/>
  <sheetViews>
    <sheetView workbookViewId="0">
      <selection activeCell="E12" sqref="E12"/>
    </sheetView>
  </sheetViews>
  <sheetFormatPr defaultRowHeight="15" x14ac:dyDescent="0.25"/>
  <cols>
    <col min="1" max="1" width="28" bestFit="1" customWidth="1"/>
    <col min="2" max="2" width="22.28515625" style="3" bestFit="1" customWidth="1"/>
    <col min="3" max="4" width="22.28515625" style="3" customWidth="1"/>
    <col min="5" max="5" width="14.5703125" bestFit="1" customWidth="1"/>
  </cols>
  <sheetData>
    <row r="1" spans="1:5" ht="18.75" x14ac:dyDescent="0.3">
      <c r="A1" s="2" t="s">
        <v>53</v>
      </c>
    </row>
    <row r="2" spans="1:5" x14ac:dyDescent="0.25">
      <c r="A2" s="1" t="s">
        <v>6</v>
      </c>
    </row>
    <row r="3" spans="1:5" x14ac:dyDescent="0.25">
      <c r="A3" s="1" t="s">
        <v>4</v>
      </c>
      <c r="B3" s="4" t="s">
        <v>3</v>
      </c>
      <c r="C3" s="4" t="s">
        <v>254</v>
      </c>
      <c r="D3" s="4"/>
      <c r="E3" s="1" t="s">
        <v>239</v>
      </c>
    </row>
    <row r="4" spans="1:5" x14ac:dyDescent="0.25">
      <c r="A4" t="s">
        <v>253</v>
      </c>
      <c r="B4" s="11"/>
      <c r="C4" s="11"/>
      <c r="E4" t="s">
        <v>52</v>
      </c>
    </row>
    <row r="5" spans="1:5" x14ac:dyDescent="0.25">
      <c r="A5" t="s">
        <v>48</v>
      </c>
      <c r="B5" s="11"/>
      <c r="C5" s="11"/>
      <c r="E5" t="s">
        <v>52</v>
      </c>
    </row>
    <row r="6" spans="1:5" x14ac:dyDescent="0.25">
      <c r="A6" t="s">
        <v>49</v>
      </c>
      <c r="B6" s="11"/>
      <c r="C6" s="11"/>
      <c r="E6" t="s">
        <v>52</v>
      </c>
    </row>
    <row r="7" spans="1:5" x14ac:dyDescent="0.25">
      <c r="A7" t="s">
        <v>50</v>
      </c>
      <c r="B7" s="11"/>
      <c r="C7" s="11"/>
      <c r="E7" t="s">
        <v>52</v>
      </c>
    </row>
    <row r="8" spans="1:5" x14ac:dyDescent="0.25">
      <c r="A8" t="s">
        <v>51</v>
      </c>
      <c r="B8" s="11"/>
      <c r="C8" s="11"/>
      <c r="E8" t="s">
        <v>52</v>
      </c>
    </row>
  </sheetData>
  <sheetProtection sheet="1" objects="1" scenarios="1"/>
  <protectedRanges>
    <protectedRange sqref="B4:C8" name="qc method"/>
  </protectedRanges>
  <dataValidations count="6">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 allowBlank="1" showInputMessage="1" showErrorMessage="1" promptTitle="Source of Method" prompt="If you have documentation for the QC method described to the right, put the DOI (if published), enter &quot;internal&quot; if not publicly available. Leave blank if there is no documentation." sqref="C4:C8" xr:uid="{2A98634C-0FE9-4508-BCE5-4DF629ACDF55}"/>
  </dataValidations>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promptTitle="Was a QA/QC Method Used" prompt="During the collection of the submitted data, did the user apply a quality assurance or quality control protocol?" xr:uid="{C41BBC01-2305-40A5-BFD4-23F1CFC04876}">
          <x14:formula1>
            <xm:f>Input_Validation!$AA$3:$AA$4</xm:f>
          </x14:formula1>
          <xm:sqref>B4</xm:sqref>
        </x14:dataValidation>
        <x14:dataValidation type="list" allowBlank="1" showInputMessage="1" showErrorMessage="1" promptTitle="Mass Analyzer Calibration" prompt="Was the mass analyzer (quadrupole, orbitrap, time-of-flight, ion trap, etc.) calibrated and within performance requirements prior to analysis?" xr:uid="{58F5D5A3-44F3-4B8B-B34C-C19A6819585E}">
          <x14:formula1>
            <xm:f>Input_Validation!$AB$3:$AB$4</xm:f>
          </x14:formula1>
          <xm:sqref>B5</xm:sqref>
        </x14:dataValidation>
        <x14:dataValidation type="list" allowBlank="1" showInputMessage="1" showErrorMessage="1" promptTitle="External Standard Verification" prompt="Was the performance of the method verified using chemical standards spiked in a blank solvent (non-matrix) solution?" xr:uid="{DEA0835D-0894-4E98-8871-398EA0597B26}">
          <x14:formula1>
            <xm:f>Input_Validation!$AC$3:$AC$4</xm:f>
          </x14:formula1>
          <xm:sqref>B6</xm:sqref>
        </x14:dataValidation>
        <x14:dataValidation type="list" allowBlank="1" showInputMessage="1" showErrorMessage="1" promptTitle="Internal Standard Verification" prompt="Was the performance of the method verified using chemical standards spiked into the sample solutions?" xr:uid="{9946E300-EFD3-4B71-B5E0-1F94AA1681CE}">
          <x14:formula1>
            <xm:f>Input_Validation!$AD$3:$AD$4</xm:f>
          </x14:formula1>
          <xm:sqref>B7</xm:sqref>
        </x14:dataValidation>
        <x14:dataValidation type="list" allowBlank="1" showInputMessage="1" showErrorMessage="1" promptTitle="Matrix Standard Verification" prompt="Was the performance of the method verified using matrix-matched solution containing known chemicals (not spiked)?" xr:uid="{5A3DA08E-7BF9-4C8D-AFC2-62151558F565}">
          <x14:formula1>
            <xm:f>Input_Validation!$AE$3:$AE$4</xm:f>
          </x14:formula1>
          <xm:sqref>B8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39"/>
  <sheetViews>
    <sheetView workbookViewId="0">
      <selection activeCell="D9" sqref="D9"/>
    </sheetView>
  </sheetViews>
  <sheetFormatPr defaultRowHeight="15" x14ac:dyDescent="0.25"/>
  <cols>
    <col min="1" max="1" width="24" bestFit="1" customWidth="1"/>
    <col min="2" max="2" width="16.85546875" customWidth="1"/>
    <col min="3" max="3" width="8.85546875" bestFit="1" customWidth="1"/>
    <col min="4" max="4" width="9" bestFit="1" customWidth="1"/>
    <col min="5" max="5" width="6" bestFit="1" customWidth="1"/>
    <col min="6" max="6" width="16.5703125" bestFit="1" customWidth="1"/>
    <col min="7" max="7" width="14.85546875" bestFit="1" customWidth="1"/>
  </cols>
  <sheetData>
    <row r="1" spans="1:8" ht="18.75" x14ac:dyDescent="0.3">
      <c r="A1" s="2" t="s">
        <v>30</v>
      </c>
      <c r="B1" s="10"/>
      <c r="C1" s="10"/>
    </row>
    <row r="2" spans="1:8" x14ac:dyDescent="0.25">
      <c r="A2" s="1" t="s">
        <v>6</v>
      </c>
      <c r="B2" s="10"/>
      <c r="C2" s="10"/>
    </row>
    <row r="3" spans="1:8" x14ac:dyDescent="0.25">
      <c r="A3" s="5" t="s">
        <v>63</v>
      </c>
      <c r="B3" s="9" t="s">
        <v>191</v>
      </c>
      <c r="C3" s="5" t="s">
        <v>194</v>
      </c>
      <c r="D3" s="5" t="s">
        <v>64</v>
      </c>
      <c r="E3" s="5" t="s">
        <v>65</v>
      </c>
      <c r="F3" s="5" t="s">
        <v>66</v>
      </c>
      <c r="G3" s="5" t="s">
        <v>67</v>
      </c>
      <c r="H3" s="5" t="s">
        <v>205</v>
      </c>
    </row>
    <row r="4" spans="1:8" x14ac:dyDescent="0.25">
      <c r="A4" s="13"/>
      <c r="D4" s="13"/>
      <c r="E4" s="13"/>
      <c r="F4" s="13"/>
      <c r="G4" s="13"/>
      <c r="H4" s="13"/>
    </row>
    <row r="5" spans="1:8" x14ac:dyDescent="0.25">
      <c r="A5" s="13"/>
      <c r="D5" s="13"/>
      <c r="E5" s="13"/>
      <c r="F5" s="13"/>
      <c r="G5" s="13"/>
      <c r="H5" s="13"/>
    </row>
    <row r="6" spans="1:8" x14ac:dyDescent="0.25">
      <c r="A6" s="13"/>
      <c r="D6" s="13"/>
      <c r="E6" s="13"/>
      <c r="F6" s="13"/>
      <c r="G6" s="13"/>
      <c r="H6" s="13"/>
    </row>
    <row r="7" spans="1:8" x14ac:dyDescent="0.25">
      <c r="H7" s="13"/>
    </row>
    <row r="9" spans="1:8" x14ac:dyDescent="0.25">
      <c r="H9" s="13"/>
    </row>
    <row r="10" spans="1:8" x14ac:dyDescent="0.25">
      <c r="H10" s="13"/>
    </row>
    <row r="12" spans="1:8" x14ac:dyDescent="0.25">
      <c r="E12" s="13"/>
      <c r="F12" s="13"/>
      <c r="G12" s="13"/>
      <c r="H12" s="13"/>
    </row>
    <row r="14" spans="1:8" x14ac:dyDescent="0.25">
      <c r="H14" s="13"/>
    </row>
    <row r="15" spans="1:8" x14ac:dyDescent="0.25">
      <c r="H15" s="13"/>
    </row>
    <row r="16" spans="1:8" x14ac:dyDescent="0.25">
      <c r="A16" s="13"/>
      <c r="D16" s="13"/>
      <c r="E16" s="13"/>
      <c r="F16" s="13"/>
      <c r="G16" s="13"/>
      <c r="H16" s="13"/>
    </row>
    <row r="17" spans="1:8" x14ac:dyDescent="0.25">
      <c r="A17" s="13"/>
      <c r="D17" s="13"/>
      <c r="E17" s="13"/>
      <c r="F17" s="13"/>
      <c r="G17" s="13"/>
      <c r="H17" s="13"/>
    </row>
    <row r="18" spans="1:8" x14ac:dyDescent="0.25">
      <c r="A18" s="13"/>
      <c r="D18" s="13"/>
      <c r="E18" s="13"/>
      <c r="F18" s="13"/>
      <c r="G18" s="13"/>
      <c r="H18" s="13"/>
    </row>
    <row r="19" spans="1:8" x14ac:dyDescent="0.25">
      <c r="A19" s="13"/>
      <c r="D19" s="13"/>
      <c r="E19" s="13"/>
      <c r="F19" s="13"/>
      <c r="G19" s="13"/>
      <c r="H19" s="13"/>
    </row>
    <row r="20" spans="1:8" x14ac:dyDescent="0.25">
      <c r="A20" s="13"/>
      <c r="D20" s="13"/>
      <c r="E20" s="13"/>
      <c r="F20" s="13"/>
      <c r="G20" s="13"/>
      <c r="H20" s="13"/>
    </row>
    <row r="21" spans="1:8" x14ac:dyDescent="0.25">
      <c r="A21" s="13"/>
      <c r="D21" s="13"/>
      <c r="E21" s="13"/>
      <c r="F21" s="13"/>
      <c r="G21" s="13"/>
      <c r="H21" s="13"/>
    </row>
    <row r="22" spans="1:8" x14ac:dyDescent="0.25">
      <c r="A22" s="13"/>
      <c r="D22" s="13"/>
      <c r="E22" s="13"/>
      <c r="F22" s="13"/>
      <c r="G22" s="13"/>
      <c r="H22" s="13"/>
    </row>
    <row r="23" spans="1:8" x14ac:dyDescent="0.25">
      <c r="A23" s="13"/>
      <c r="D23" s="13"/>
      <c r="E23" s="13"/>
      <c r="F23" s="13"/>
      <c r="G23" s="13"/>
      <c r="H23" s="13"/>
    </row>
    <row r="24" spans="1:8" x14ac:dyDescent="0.25">
      <c r="A24" s="13"/>
      <c r="D24" s="13"/>
      <c r="E24" s="13"/>
      <c r="F24" s="13"/>
      <c r="G24" s="13"/>
      <c r="H24" s="13"/>
    </row>
    <row r="25" spans="1:8" x14ac:dyDescent="0.25">
      <c r="A25" s="13"/>
      <c r="D25" s="13"/>
      <c r="E25" s="13"/>
      <c r="F25" s="13"/>
      <c r="G25" s="13"/>
      <c r="H25" s="13"/>
    </row>
    <row r="26" spans="1:8" x14ac:dyDescent="0.25">
      <c r="A26" s="13"/>
      <c r="D26" s="13"/>
      <c r="E26" s="13"/>
      <c r="F26" s="13"/>
      <c r="G26" s="13"/>
      <c r="H26" s="13"/>
    </row>
    <row r="27" spans="1:8" x14ac:dyDescent="0.25">
      <c r="A27" s="13"/>
      <c r="D27" s="13"/>
      <c r="E27" s="13"/>
      <c r="F27" s="13"/>
      <c r="G27" s="13"/>
      <c r="H27" s="13"/>
    </row>
    <row r="28" spans="1:8" x14ac:dyDescent="0.25">
      <c r="A28" s="13"/>
      <c r="D28" s="13"/>
      <c r="E28" s="13"/>
      <c r="F28" s="13"/>
      <c r="G28" s="13"/>
      <c r="H28" s="13"/>
    </row>
    <row r="29" spans="1:8" x14ac:dyDescent="0.25">
      <c r="A29" s="13"/>
      <c r="D29" s="13"/>
      <c r="E29" s="13"/>
      <c r="F29" s="13"/>
      <c r="G29" s="13"/>
      <c r="H29" s="13"/>
    </row>
    <row r="30" spans="1:8" x14ac:dyDescent="0.25">
      <c r="A30" s="13"/>
      <c r="D30" s="13"/>
      <c r="E30" s="13"/>
      <c r="F30" s="13"/>
      <c r="G30" s="13"/>
      <c r="H30" s="13"/>
    </row>
    <row r="31" spans="1:8" x14ac:dyDescent="0.25">
      <c r="A31" s="13"/>
      <c r="D31" s="13"/>
      <c r="E31" s="13"/>
      <c r="F31" s="13"/>
      <c r="G31" s="13"/>
      <c r="H31" s="13"/>
    </row>
    <row r="39" spans="1:8" x14ac:dyDescent="0.25">
      <c r="A39" s="13"/>
      <c r="D39" s="13"/>
      <c r="E39" s="13"/>
      <c r="F39" s="13"/>
      <c r="G39" s="13"/>
      <c r="H39" s="13"/>
    </row>
  </sheetData>
  <sheetProtection sheet="1" objects="1" scenarios="1"/>
  <protectedRanges>
    <protectedRange sqref="A4:H1048576" name="peaks"/>
  </protectedRanges>
  <dataValidations xWindow="344" yWindow="297" count="9">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parent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Compound Verification" prompt="Was the identity of the compound verified by using a chemical standard and comparing the retention time, precursor ion, and/or fragmentation mass spectra?" sqref="H3" xr:uid="{2A92C2A7-746E-4B6F-9C0F-30F03CC2DAA4}"/>
    <dataValidation type="list" allowBlank="1" showInputMessage="1" showErrorMessage="1" sqref="H41:H1048576 H39 H14:H31 H12 H4:H7 H9:H10" xr:uid="{A7E392E9-875C-4E5F-B259-CC77030F7DDF}">
      <formula1>"true,false"</formula1>
    </dataValidation>
  </dataValidations>
  <hyperlinks>
    <hyperlink ref="B3" r:id="rId1" display="identifier" xr:uid="{EA405BE7-5715-47D3-946C-EB2585244009}"/>
  </hyperlinks>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Run</vt:lpstr>
      <vt:lpstr>Input_Validation</vt:lpstr>
      <vt:lpstr>Sample_Input</vt:lpstr>
      <vt:lpstr>Import</vt:lpstr>
      <vt:lpstr>Chromatography_Input</vt:lpstr>
      <vt:lpstr>Mass Spectrometry_Input</vt:lpstr>
      <vt:lpstr>QC Method_Input</vt:lpstr>
      <vt:lpstr>Peaks_Input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2022-02-01T15:25:54Z</dcterms:modified>
</cp:coreProperties>
</file>