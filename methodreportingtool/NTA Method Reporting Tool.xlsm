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13_ncr:1_{3FEAC617-D607-4234-80C6-CC7C0CC9D065}" xr6:coauthVersionLast="47" xr6:coauthVersionMax="47" xr10:uidLastSave="{00000000-0000-0000-0000-000000000000}"/>
  <bookViews>
    <workbookView xWindow="-120" yWindow="-120" windowWidth="29040" windowHeight="15840" xr2:uid="{90B8E717-CD35-4EBB-A047-3C52215825F8}"/>
  </bookViews>
  <sheets>
    <sheet name="Run" sheetId="10" r:id="rId1"/>
    <sheet name="Input_Validation" sheetId="11" state="hidden" r:id="rId2"/>
    <sheet name="Sample_Input" sheetId="5" r:id="rId3"/>
    <sheet name="Import" sheetId="12" state="hidden" r:id="rId4"/>
    <sheet name="Chromatography_Input" sheetId="1" r:id="rId5"/>
    <sheet name="Mass Spectrometry_Input" sheetId="3" r:id="rId6"/>
    <sheet name="QC Method_Input" sheetId="4" r:id="rId7"/>
    <sheet name="Peaks_Input" sheetId="8" r:id="rId8"/>
    <sheet name="QC_Check" sheetId="13" state="hidden" r:id="rId9"/>
  </sheets>
  <definedNames>
    <definedName name="_xlnm._FilterDatabase" localSheetId="1"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sharedStrings.xml><?xml version="1.0" encoding="utf-8"?>
<sst xmlns="http://schemas.openxmlformats.org/spreadsheetml/2006/main" count="429" uniqueCount="271">
  <si>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</si>
  <si>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</si>
  <si>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</si>
  <si>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</si>
  <si>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</si>
  <si>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</si>
  <si>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</si>
  <si>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</si>
  <si>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</si>
  <si>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</si>
  <si>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</si>
  <si>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</si>
  <si>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</si>
  <si>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</si>
  <si>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</si>
  <si>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</si>
  <si>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</si>
  <si>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</si>
  <si>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</si>
  <si>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</si>
  <si>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</si>
  <si>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</si>
  <si>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</si>
  <si>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</si>
  <si>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</si>
  <si>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</si>
  <si>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</si>
  <si>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</si>
  <si>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</si>
  <si>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</si>
  <si>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</si>
  <si>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</si>
  <si>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</si>
  <si>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</si>
  <si>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</si>
  <si>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</si>
  <si>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</si>
  <si>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</si>
  <si>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</si>
  <si>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</si>
  <si>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</si>
  <si>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</si>
  <si>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</si>
  <si>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</si>
  <si>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</si>
  <si>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</si>
  <si>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</si>
  <si>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</si>
  <si>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</si>
  <si>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</si>
  <si>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</si>
  <si>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</si>
  <si>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</si>
  <si>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</si>
  <si>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</si>
  <si>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</si>
  <si>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</si>
  <si>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</si>
  <si>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</si>
  <si>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</si>
  <si>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</si>
  <si>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</si>
  <si>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</si>
  <si>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</si>
  <si>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</si>
  <si>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</si>
  <si>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</si>
  <si>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</si>
  <si>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</si>
  <si>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</si>
  <si>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</si>
  <si>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</si>
  <si>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</si>
  <si>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</si>
  <si>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</si>
  <si>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</si>
  <si>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</si>
  <si>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</si>
  <si>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</si>
  <si>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</si>
  <si>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</si>
  <si>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</si>
  <si>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</si>
  <si>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</si>
  <si>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</si>
  <si>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</si>
  <si>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</si>
  <si>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</si>
  <si>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</si>
  <si>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</si>
  <si>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</si>
  <si>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</si>
  <si>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</si>
  <si>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</si>
  <si>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</si>
  <si>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</si>
  <si>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</si>
  <si>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</si>
  <si>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</si>
  <si>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</si>
  <si>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</si>
  <si>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</si>
  <si>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</si>
  <si>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</si>
  <si>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</si>
  <si>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</si>
  <si>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</si>
  <si>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</si>
  <si>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</si>
  <si>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</si>
  <si>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</si>
  <si>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</si>
  <si>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</si>
  <si>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</si>
  <si>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</si>
  <si>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</si>
  <si>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</si>
  <si>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</si>
  <si>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</si>
  <si>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</si>
  <si>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</si>
  <si>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</si>
  <si>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</si>
  <si>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</si>
  <si>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</si>
  <si>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</si>
  <si>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</si>
  <si>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</si>
  <si>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</si>
  <si>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</si>
  <si>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</si>
  <si>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</si>
  <si>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</si>
  <si>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</si>
  <si>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</si>
  <si>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</si>
  <si>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</si>
  <si>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</si>
  <si>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</si>
  <si>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</si>
  <si>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</si>
  <si>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</si>
  <si>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</si>
  <si>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</si>
  <si>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</si>
  <si>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</si>
  <si>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</si>
  <si>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</si>
  <si>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</si>
  <si>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</si>
  <si>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</si>
  <si>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</si>
  <si>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</si>
  <si>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</si>
  <si>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</si>
  <si>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</si>
  <si>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</si>
  <si>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</si>
  <si>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</si>
  <si>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</si>
  <si>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</si>
  <si>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</si>
  <si>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</si>
  <si>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</si>
  <si>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</si>
  <si>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</si>
  <si>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</si>
  <si>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</si>
  <si>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</si>
  <si>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</si>
  <si>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</si>
  <si>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</si>
  <si>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</si>
  <si>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</si>
  <si>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</si>
  <si>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</si>
  <si>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</si>
  <si>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</si>
  <si>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</si>
  <si>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</si>
  <si>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</si>
  <si>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</si>
  <si>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</si>
  <si>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</si>
  <si>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</si>
  <si>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</si>
  <si>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</si>
  <si>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</si>
  <si>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</si>
  <si>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</si>
  <si>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</si>
  <si>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</si>
  <si>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</si>
  <si>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</si>
  <si>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</si>
  <si>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</si>
  <si>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</si>
  <si>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</si>
  <si>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</si>
  <si>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</si>
  <si>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</si>
  <si>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</si>
  <si>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</si>
  <si>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</si>
  <si>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</si>
  <si>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</si>
  <si>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</si>
  <si>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</si>
  <si>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</si>
  <si>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</si>
  <si>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</si>
  <si>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</si>
  <si>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</si>
  <si>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</si>
  <si>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</si>
  <si>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</si>
  <si>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</si>
  <si>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</si>
  <si>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</si>
  <si>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</si>
  <si>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</si>
  <si>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</si>
  <si>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</si>
  <si>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</si>
  <si>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</si>
  <si>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</si>
  <si>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</si>
  <si>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</si>
  <si>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</si>
  <si>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</si>
  <si>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</si>
  <si>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</si>
  <si>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</si>
  <si>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</si>
  <si>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</si>
  <si>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</si>
  <si>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</si>
  <si>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</si>
  <si>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</si>
  <si>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</si>
  <si>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</si>
  <si>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</si>
  <si>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</si>
  <si>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</si>
  <si>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</si>
  <si>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</si>
  <si>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</si>
  <si>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</si>
  <si>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</si>
  <si>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</si>
  <si>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</si>
  <si>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</si>
  <si>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</si>
  <si>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</si>
  <si>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</si>
  <si>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</si>
  <si>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</si>
  <si>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</si>
  <si>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</si>
  <si>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</si>
  <si>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</si>
  <si>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</si>
  <si>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</si>
  <si>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1 - Confirmed Structure</t>
  </si>
  <si>
    <t>Level 4 - Unequivocal molecular formula</t>
  </si>
  <si>
    <t>Level 3 - Tentative candidate</t>
  </si>
  <si>
    <t>Level 2b - Probable Structure by diagnostic evidence</t>
  </si>
  <si>
    <t>Level 2a - Probable Structure by library spectrum match</t>
  </si>
  <si>
    <t>Level 5 - Exact mass of interest</t>
  </si>
  <si>
    <t>The confidence level of the identification, based on the Schymanski et al (https://doi.org/10.1021/es5002105)</t>
  </si>
  <si>
    <t>Version 1.5 updated 3/25/2022 BJP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</si>
</sst>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ubs.acs.org/doi/full/10.1021/es5002105"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tabSelected="1" workbookViewId="0">
      <selection activeCell="H28" sqref="H28"/>
    </sheetView>
  </sheetViews>
  <sheetFormatPr defaultRowHeight="15" x14ac:dyDescent="0.25"/>
  <cols>
    <col min="2" max="2" width="30.140625" customWidth="1"/>
  </cols>
  <sheetData>
    <row r="1" spans="1:3" ht="21" x14ac:dyDescent="0.35">
      <c r="A1" s="6" t="s">
        <v>106</v>
      </c>
    </row>
    <row r="2" spans="1:3" x14ac:dyDescent="0.25">
      <c r="C2" s="12" t="s">
        <v>270</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121</v>
      </c>
    </row>
    <row r="12" spans="1:3" x14ac:dyDescent="0.25">
      <c r="B12" t="s">
        <v>123</v>
      </c>
      <c r="C12" t="b">
        <f>QC_Check!B7</f>
        <v>0</v>
      </c>
    </row>
    <row r="14" spans="1:3" x14ac:dyDescent="0.25">
      <c r="A14" s="1" t="s">
        <v>120</v>
      </c>
    </row>
    <row r="17" spans="1:2" x14ac:dyDescent="0.25">
      <c r="A17" s="1" t="s">
        <v>122</v>
      </c>
    </row>
    <row r="18" spans="1:2" x14ac:dyDescent="0.25">
      <c r="B18" t="s">
        <v>104</v>
      </c>
    </row>
    <row r="20" spans="1:2" x14ac:dyDescent="0.25">
      <c r="A20" s="12"/>
    </row>
    <row r="21" spans="1:2" x14ac:dyDescent="0.25">
      <c r="A21" s="12"/>
    </row>
    <row r="23" spans="1:2" x14ac:dyDescent="0.25">
      <c r="A23" s="24" t="s">
        <v>258</v>
      </c>
    </row>
    <row r="24" spans="1:2" x14ac:dyDescent="0.25">
      <c r="B24" t="s">
        <v>259</v>
      </c>
    </row>
    <row r="26" spans="1:2" x14ac:dyDescent="0.25">
      <c r="B26" t="s">
        <v>260</v>
      </c>
    </row>
    <row r="28" spans="1:2" x14ac:dyDescent="0.25">
      <c r="B28" t="s">
        <v>261</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topLeftCell="W1" workbookViewId="0">
      <selection activeCell="AA19" sqref="AA19"/>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124</v>
      </c>
      <c r="E1" t="s">
        <v>1</v>
      </c>
      <c r="F1" t="s">
        <v>2</v>
      </c>
      <c r="G1" t="s">
        <v>8</v>
      </c>
      <c r="H1" t="s">
        <v>9</v>
      </c>
      <c r="I1" t="s">
        <v>10</v>
      </c>
      <c r="J1" t="s">
        <v>11</v>
      </c>
      <c r="K1" t="s">
        <v>12</v>
      </c>
      <c r="L1" t="s">
        <v>13</v>
      </c>
      <c r="M1" t="s">
        <v>170</v>
      </c>
      <c r="N1" t="s">
        <v>171</v>
      </c>
      <c r="O1" t="s">
        <v>138</v>
      </c>
      <c r="P1" t="s">
        <v>141</v>
      </c>
      <c r="Q1" t="s">
        <v>31</v>
      </c>
      <c r="R1" t="s">
        <v>32</v>
      </c>
      <c r="S1" t="s">
        <v>33</v>
      </c>
      <c r="T1" t="s">
        <v>36</v>
      </c>
      <c r="U1" t="s">
        <v>39</v>
      </c>
      <c r="V1" t="s">
        <v>42</v>
      </c>
      <c r="W1" t="s">
        <v>177</v>
      </c>
      <c r="X1" t="s">
        <v>179</v>
      </c>
      <c r="Y1" t="s">
        <v>180</v>
      </c>
      <c r="Z1" t="s">
        <v>58</v>
      </c>
      <c r="AA1" t="s">
        <v>105</v>
      </c>
      <c r="AB1" t="s">
        <v>47</v>
      </c>
      <c r="AC1" t="s">
        <v>48</v>
      </c>
      <c r="AD1" t="s">
        <v>49</v>
      </c>
      <c r="AE1" t="s">
        <v>50</v>
      </c>
      <c r="AF1" t="s">
        <v>184</v>
      </c>
      <c r="AG1" t="s">
        <v>262</v>
      </c>
    </row>
    <row r="2" spans="1:33" ht="18.75" customHeight="1" x14ac:dyDescent="0.25">
      <c r="A2" t="s">
        <v>196</v>
      </c>
      <c r="B2" t="s">
        <v>197</v>
      </c>
      <c r="C2" t="s">
        <v>198</v>
      </c>
      <c r="D2" t="s">
        <v>199</v>
      </c>
      <c r="E2" t="s">
        <v>200</v>
      </c>
      <c r="F2" t="s">
        <v>201</v>
      </c>
      <c r="G2" t="s">
        <v>202</v>
      </c>
      <c r="H2" t="s">
        <v>203</v>
      </c>
      <c r="I2" t="s">
        <v>204</v>
      </c>
      <c r="J2" t="s">
        <v>205</v>
      </c>
      <c r="K2" t="s">
        <v>206</v>
      </c>
      <c r="L2" t="s">
        <v>207</v>
      </c>
      <c r="M2" t="s">
        <v>208</v>
      </c>
      <c r="N2" t="s">
        <v>209</v>
      </c>
      <c r="O2" t="s">
        <v>210</v>
      </c>
      <c r="P2" t="s">
        <v>211</v>
      </c>
      <c r="Q2" t="s">
        <v>212</v>
      </c>
      <c r="R2" t="s">
        <v>213</v>
      </c>
      <c r="S2" t="s">
        <v>214</v>
      </c>
      <c r="T2" t="s">
        <v>215</v>
      </c>
      <c r="U2" t="s">
        <v>216</v>
      </c>
      <c r="V2" t="s">
        <v>217</v>
      </c>
      <c r="W2" t="s">
        <v>218</v>
      </c>
      <c r="X2" t="s">
        <v>219</v>
      </c>
      <c r="Y2" t="s">
        <v>220</v>
      </c>
      <c r="Z2" s="11" t="s">
        <v>227</v>
      </c>
      <c r="AA2" s="11" t="s">
        <v>222</v>
      </c>
      <c r="AB2" s="11" t="s">
        <v>223</v>
      </c>
      <c r="AC2" s="11" t="s">
        <v>224</v>
      </c>
      <c r="AD2" s="11" t="s">
        <v>225</v>
      </c>
      <c r="AE2" s="11" t="s">
        <v>226</v>
      </c>
      <c r="AF2" t="s">
        <v>221</v>
      </c>
      <c r="AG2" s="11" t="s">
        <v>269</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244</v>
      </c>
      <c r="S3" t="s">
        <v>34</v>
      </c>
      <c r="T3" t="s">
        <v>37</v>
      </c>
      <c r="U3" t="s">
        <v>14</v>
      </c>
      <c r="V3" t="s">
        <v>14</v>
      </c>
      <c r="W3" t="s">
        <v>178</v>
      </c>
      <c r="X3" t="s">
        <v>118</v>
      </c>
      <c r="Y3" t="s">
        <v>117</v>
      </c>
      <c r="Z3" t="s">
        <v>14</v>
      </c>
      <c r="AA3" t="b">
        <v>1</v>
      </c>
      <c r="AB3" t="b">
        <v>1</v>
      </c>
      <c r="AC3" t="b">
        <v>1</v>
      </c>
      <c r="AD3" t="b">
        <v>1</v>
      </c>
      <c r="AE3" t="b">
        <v>1</v>
      </c>
      <c r="AF3" t="s">
        <v>186</v>
      </c>
      <c r="AG3" t="s">
        <v>263</v>
      </c>
    </row>
    <row r="4" spans="1:33" x14ac:dyDescent="0.25">
      <c r="A4" t="s">
        <v>72</v>
      </c>
      <c r="B4" t="s">
        <v>77</v>
      </c>
      <c r="C4" t="s">
        <v>83</v>
      </c>
      <c r="D4" t="s">
        <v>85</v>
      </c>
      <c r="E4" t="s">
        <v>85</v>
      </c>
      <c r="F4" t="s">
        <v>93</v>
      </c>
      <c r="G4" t="s">
        <v>85</v>
      </c>
      <c r="H4" t="s">
        <v>93</v>
      </c>
      <c r="I4" t="s">
        <v>85</v>
      </c>
      <c r="J4" t="s">
        <v>93</v>
      </c>
      <c r="K4" t="s">
        <v>85</v>
      </c>
      <c r="L4" t="s">
        <v>93</v>
      </c>
      <c r="M4" t="s">
        <v>95</v>
      </c>
      <c r="N4" t="s">
        <v>148</v>
      </c>
      <c r="O4" t="s">
        <v>28</v>
      </c>
      <c r="P4" t="s">
        <v>148</v>
      </c>
      <c r="Q4" t="s">
        <v>83</v>
      </c>
      <c r="R4" t="s">
        <v>245</v>
      </c>
      <c r="S4" t="s">
        <v>107</v>
      </c>
      <c r="T4" t="s">
        <v>110</v>
      </c>
      <c r="U4" t="s">
        <v>114</v>
      </c>
      <c r="V4" t="s">
        <v>114</v>
      </c>
      <c r="W4" t="s">
        <v>45</v>
      </c>
      <c r="X4" t="s">
        <v>119</v>
      </c>
      <c r="Y4" t="s">
        <v>37</v>
      </c>
      <c r="Z4" t="s">
        <v>248</v>
      </c>
      <c r="AA4" t="b">
        <v>0</v>
      </c>
      <c r="AB4" t="b">
        <v>0</v>
      </c>
      <c r="AC4" t="b">
        <v>0</v>
      </c>
      <c r="AD4" t="b">
        <v>0</v>
      </c>
      <c r="AE4" t="b">
        <v>0</v>
      </c>
      <c r="AF4" t="s">
        <v>185</v>
      </c>
      <c r="AG4" t="s">
        <v>267</v>
      </c>
    </row>
    <row r="5" spans="1:33" x14ac:dyDescent="0.25">
      <c r="A5" t="s">
        <v>73</v>
      </c>
      <c r="B5" t="s">
        <v>76</v>
      </c>
      <c r="C5" t="s">
        <v>84</v>
      </c>
      <c r="D5" t="s">
        <v>156</v>
      </c>
      <c r="E5" t="s">
        <v>156</v>
      </c>
      <c r="F5" t="s">
        <v>86</v>
      </c>
      <c r="G5" t="s">
        <v>156</v>
      </c>
      <c r="H5" t="s">
        <v>86</v>
      </c>
      <c r="I5" t="s">
        <v>156</v>
      </c>
      <c r="J5" t="s">
        <v>86</v>
      </c>
      <c r="K5" t="s">
        <v>156</v>
      </c>
      <c r="L5" t="s">
        <v>86</v>
      </c>
      <c r="M5" t="s">
        <v>144</v>
      </c>
      <c r="N5" t="s">
        <v>152</v>
      </c>
      <c r="O5" t="s">
        <v>95</v>
      </c>
      <c r="P5" t="s">
        <v>152</v>
      </c>
      <c r="Q5" t="s">
        <v>82</v>
      </c>
      <c r="R5" t="s">
        <v>247</v>
      </c>
      <c r="T5" t="s">
        <v>111</v>
      </c>
      <c r="U5" t="s">
        <v>43</v>
      </c>
      <c r="V5" t="s">
        <v>43</v>
      </c>
      <c r="W5" t="s">
        <v>115</v>
      </c>
      <c r="Z5" t="s">
        <v>249</v>
      </c>
      <c r="AF5" t="s">
        <v>188</v>
      </c>
      <c r="AG5" t="s">
        <v>266</v>
      </c>
    </row>
    <row r="6" spans="1:33" x14ac:dyDescent="0.25">
      <c r="A6" t="s">
        <v>70</v>
      </c>
      <c r="B6" t="s">
        <v>79</v>
      </c>
      <c r="C6" t="s">
        <v>82</v>
      </c>
      <c r="D6" t="s">
        <v>157</v>
      </c>
      <c r="E6" t="s">
        <v>157</v>
      </c>
      <c r="F6" t="s">
        <v>88</v>
      </c>
      <c r="G6" t="s">
        <v>157</v>
      </c>
      <c r="H6" t="s">
        <v>88</v>
      </c>
      <c r="I6" t="s">
        <v>157</v>
      </c>
      <c r="J6" t="s">
        <v>88</v>
      </c>
      <c r="K6" t="s">
        <v>157</v>
      </c>
      <c r="L6" t="s">
        <v>88</v>
      </c>
      <c r="M6" t="s">
        <v>145</v>
      </c>
      <c r="N6" t="s">
        <v>154</v>
      </c>
      <c r="O6" t="s">
        <v>144</v>
      </c>
      <c r="P6" t="s">
        <v>154</v>
      </c>
      <c r="Q6" t="s">
        <v>81</v>
      </c>
      <c r="R6" t="s">
        <v>246</v>
      </c>
      <c r="T6" t="s">
        <v>108</v>
      </c>
      <c r="U6" t="s">
        <v>40</v>
      </c>
      <c r="V6" t="s">
        <v>40</v>
      </c>
      <c r="W6" t="s">
        <v>253</v>
      </c>
      <c r="Z6" t="s">
        <v>116</v>
      </c>
      <c r="AF6" t="s">
        <v>187</v>
      </c>
      <c r="AG6" t="s">
        <v>265</v>
      </c>
    </row>
    <row r="7" spans="1:33" x14ac:dyDescent="0.25">
      <c r="A7" t="s">
        <v>161</v>
      </c>
      <c r="C7" t="s">
        <v>81</v>
      </c>
      <c r="D7" t="s">
        <v>169</v>
      </c>
      <c r="E7" t="s">
        <v>169</v>
      </c>
      <c r="F7" t="s">
        <v>90</v>
      </c>
      <c r="G7" t="s">
        <v>169</v>
      </c>
      <c r="H7" t="s">
        <v>90</v>
      </c>
      <c r="I7" t="s">
        <v>169</v>
      </c>
      <c r="J7" t="s">
        <v>90</v>
      </c>
      <c r="K7" t="s">
        <v>169</v>
      </c>
      <c r="L7" t="s">
        <v>90</v>
      </c>
      <c r="M7" t="s">
        <v>81</v>
      </c>
      <c r="N7" t="s">
        <v>149</v>
      </c>
      <c r="O7" t="s">
        <v>145</v>
      </c>
      <c r="P7" t="s">
        <v>149</v>
      </c>
      <c r="Q7" t="s">
        <v>7</v>
      </c>
      <c r="R7" t="s">
        <v>243</v>
      </c>
      <c r="T7" t="s">
        <v>109</v>
      </c>
      <c r="U7" t="s">
        <v>113</v>
      </c>
      <c r="V7" t="s">
        <v>113</v>
      </c>
      <c r="AF7" t="s">
        <v>189</v>
      </c>
      <c r="AG7" t="s">
        <v>264</v>
      </c>
    </row>
    <row r="8" spans="1:33" x14ac:dyDescent="0.25">
      <c r="A8" t="s">
        <v>71</v>
      </c>
      <c r="C8" t="s">
        <v>7</v>
      </c>
      <c r="D8" t="s">
        <v>89</v>
      </c>
      <c r="E8" t="s">
        <v>89</v>
      </c>
      <c r="F8" t="s">
        <v>92</v>
      </c>
      <c r="G8" t="s">
        <v>89</v>
      </c>
      <c r="H8" t="s">
        <v>92</v>
      </c>
      <c r="I8" t="s">
        <v>89</v>
      </c>
      <c r="J8" t="s">
        <v>92</v>
      </c>
      <c r="K8" t="s">
        <v>89</v>
      </c>
      <c r="L8" t="s">
        <v>92</v>
      </c>
      <c r="M8" t="s">
        <v>7</v>
      </c>
      <c r="N8" t="s">
        <v>150</v>
      </c>
      <c r="O8" t="s">
        <v>81</v>
      </c>
      <c r="P8" t="s">
        <v>150</v>
      </c>
      <c r="Q8" t="s">
        <v>80</v>
      </c>
      <c r="U8" t="s">
        <v>112</v>
      </c>
      <c r="V8" t="s">
        <v>112</v>
      </c>
      <c r="AF8" t="s">
        <v>190</v>
      </c>
      <c r="AG8" t="s">
        <v>268</v>
      </c>
    </row>
    <row r="9" spans="1:33" x14ac:dyDescent="0.25">
      <c r="A9" t="s">
        <v>160</v>
      </c>
      <c r="C9" t="s">
        <v>80</v>
      </c>
      <c r="D9" t="s">
        <v>87</v>
      </c>
      <c r="E9" t="s">
        <v>87</v>
      </c>
      <c r="F9" t="s">
        <v>94</v>
      </c>
      <c r="G9" t="s">
        <v>87</v>
      </c>
      <c r="H9" t="s">
        <v>94</v>
      </c>
      <c r="I9" t="s">
        <v>87</v>
      </c>
      <c r="J9" t="s">
        <v>94</v>
      </c>
      <c r="K9" t="s">
        <v>87</v>
      </c>
      <c r="L9" t="s">
        <v>94</v>
      </c>
      <c r="M9" t="s">
        <v>80</v>
      </c>
      <c r="N9" t="s">
        <v>153</v>
      </c>
      <c r="O9" t="s">
        <v>7</v>
      </c>
      <c r="P9" t="s">
        <v>153</v>
      </c>
      <c r="U9" t="s">
        <v>183</v>
      </c>
      <c r="V9" t="s">
        <v>183</v>
      </c>
      <c r="AF9" t="s">
        <v>191</v>
      </c>
    </row>
    <row r="10" spans="1:33" x14ac:dyDescent="0.25">
      <c r="A10" t="s">
        <v>158</v>
      </c>
      <c r="D10" t="s">
        <v>155</v>
      </c>
      <c r="E10" t="s">
        <v>155</v>
      </c>
      <c r="G10" t="s">
        <v>155</v>
      </c>
      <c r="I10" t="s">
        <v>155</v>
      </c>
      <c r="K10" t="s">
        <v>155</v>
      </c>
      <c r="M10" t="s">
        <v>146</v>
      </c>
      <c r="N10" t="s">
        <v>147</v>
      </c>
      <c r="O10" t="s">
        <v>80</v>
      </c>
      <c r="P10" t="s">
        <v>147</v>
      </c>
      <c r="AF10" t="s">
        <v>194</v>
      </c>
    </row>
    <row r="11" spans="1:33" x14ac:dyDescent="0.25">
      <c r="A11" t="s">
        <v>74</v>
      </c>
      <c r="D11" t="s">
        <v>91</v>
      </c>
      <c r="E11" t="s">
        <v>91</v>
      </c>
      <c r="G11" t="s">
        <v>91</v>
      </c>
      <c r="I11" t="s">
        <v>91</v>
      </c>
      <c r="K11" t="s">
        <v>91</v>
      </c>
      <c r="N11" t="s">
        <v>151</v>
      </c>
      <c r="O11" t="s">
        <v>146</v>
      </c>
      <c r="P11" t="s">
        <v>151</v>
      </c>
      <c r="AF11" t="s">
        <v>192</v>
      </c>
    </row>
    <row r="12" spans="1:33" x14ac:dyDescent="0.25">
      <c r="A12" t="s">
        <v>69</v>
      </c>
      <c r="AF12" t="s">
        <v>193</v>
      </c>
    </row>
    <row r="13" spans="1:33" x14ac:dyDescent="0.25">
      <c r="A13" t="s">
        <v>159</v>
      </c>
    </row>
    <row r="14" spans="1:33" x14ac:dyDescent="0.25">
      <c r="A14" t="s">
        <v>195</v>
      </c>
    </row>
    <row r="15" spans="1:33" x14ac:dyDescent="0.25">
      <c r="A15" t="s">
        <v>75</v>
      </c>
    </row>
    <row r="16" spans="1:33" x14ac:dyDescent="0.25">
      <c r="A16" t="s">
        <v>68</v>
      </c>
    </row>
    <row r="17" spans="1:1" x14ac:dyDescent="0.25">
      <c r="A17" t="s">
        <v>162</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D4" sqref="D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228</v>
      </c>
    </row>
    <row r="4" spans="1:6" x14ac:dyDescent="0.25">
      <c r="A4" t="s">
        <v>54</v>
      </c>
      <c r="B4" s="13"/>
      <c r="D4" t="s">
        <v>62</v>
      </c>
      <c r="F4" s="16" t="s">
        <v>255</v>
      </c>
    </row>
    <row r="5" spans="1:6" x14ac:dyDescent="0.25">
      <c r="A5" t="s">
        <v>55</v>
      </c>
      <c r="B5" s="13"/>
      <c r="D5" t="s">
        <v>56</v>
      </c>
    </row>
    <row r="6" spans="1:6" x14ac:dyDescent="0.25">
      <c r="A6" t="s">
        <v>57</v>
      </c>
      <c r="B6" s="13"/>
      <c r="D6" t="s">
        <v>231</v>
      </c>
    </row>
    <row r="7" spans="1:6" x14ac:dyDescent="0.25">
      <c r="A7" t="s">
        <v>250</v>
      </c>
      <c r="B7" s="15"/>
      <c r="D7" t="s">
        <v>232</v>
      </c>
    </row>
    <row r="8" spans="1:6" x14ac:dyDescent="0.25">
      <c r="A8" t="s">
        <v>251</v>
      </c>
      <c r="B8" s="18"/>
      <c r="D8" t="s">
        <v>233</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5E87FDB0-9779-4194-BA9D-3DA2624617E9}">
          <x14:formula1>
            <xm:f>Input_Validation!$A$3:$A$17</xm:f>
          </x14:formula1>
          <xm:sqref>B6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31" workbookViewId="0">
      <selection activeCell="A56" sqref="A56"/>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C2" sqref="C2"/>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228</v>
      </c>
    </row>
    <row r="4" spans="1:6" x14ac:dyDescent="0.25">
      <c r="A4" t="s">
        <v>5</v>
      </c>
      <c r="B4" s="13"/>
      <c r="D4" t="s">
        <v>136</v>
      </c>
      <c r="F4" s="16" t="s">
        <v>255</v>
      </c>
    </row>
    <row r="5" spans="1:6" x14ac:dyDescent="0.25">
      <c r="A5" t="s">
        <v>27</v>
      </c>
      <c r="B5" s="13"/>
      <c r="D5" t="s">
        <v>29</v>
      </c>
      <c r="F5" s="20" t="s">
        <v>256</v>
      </c>
    </row>
    <row r="6" spans="1:6" x14ac:dyDescent="0.25">
      <c r="A6" t="s">
        <v>134</v>
      </c>
      <c r="B6" s="13"/>
      <c r="D6" t="s">
        <v>135</v>
      </c>
    </row>
    <row r="7" spans="1:6" x14ac:dyDescent="0.25">
      <c r="A7" t="s">
        <v>252</v>
      </c>
      <c r="B7" s="13"/>
      <c r="D7" t="s">
        <v>125</v>
      </c>
    </row>
    <row r="8" spans="1:6" x14ac:dyDescent="0.25">
      <c r="A8" t="s">
        <v>1</v>
      </c>
      <c r="B8" s="13"/>
      <c r="D8" t="s">
        <v>15</v>
      </c>
    </row>
    <row r="9" spans="1:6" x14ac:dyDescent="0.25">
      <c r="A9" t="s">
        <v>2</v>
      </c>
      <c r="B9" s="13"/>
      <c r="D9" t="s">
        <v>16</v>
      </c>
    </row>
    <row r="10" spans="1:6" x14ac:dyDescent="0.25">
      <c r="A10" t="s">
        <v>8</v>
      </c>
      <c r="B10" s="13"/>
      <c r="D10" t="s">
        <v>137</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138</v>
      </c>
      <c r="B16" s="14"/>
      <c r="D16" t="s">
        <v>139</v>
      </c>
    </row>
    <row r="17" spans="1:4" x14ac:dyDescent="0.25">
      <c r="A17" t="s">
        <v>175</v>
      </c>
      <c r="B17" s="21"/>
      <c r="D17" t="s">
        <v>143</v>
      </c>
    </row>
    <row r="18" spans="1:4" x14ac:dyDescent="0.25">
      <c r="A18" t="s">
        <v>141</v>
      </c>
      <c r="B18" s="14"/>
      <c r="D18" t="s">
        <v>142</v>
      </c>
    </row>
    <row r="19" spans="1:4" x14ac:dyDescent="0.25">
      <c r="A19" t="s">
        <v>163</v>
      </c>
      <c r="B19" s="21"/>
      <c r="D19" t="s">
        <v>166</v>
      </c>
    </row>
    <row r="20" spans="1:4" x14ac:dyDescent="0.25">
      <c r="A20" t="s">
        <v>164</v>
      </c>
      <c r="B20" s="21"/>
      <c r="D20" t="s">
        <v>167</v>
      </c>
    </row>
    <row r="21" spans="1:4" x14ac:dyDescent="0.25">
      <c r="A21" t="s">
        <v>165</v>
      </c>
      <c r="B21" s="21"/>
      <c r="D21" t="s">
        <v>168</v>
      </c>
    </row>
    <row r="22" spans="1:4" x14ac:dyDescent="0.25">
      <c r="A22" t="s">
        <v>170</v>
      </c>
      <c r="B22" s="13"/>
      <c r="D22" t="s">
        <v>140</v>
      </c>
    </row>
    <row r="23" spans="1:4" x14ac:dyDescent="0.25">
      <c r="A23" t="s">
        <v>176</v>
      </c>
      <c r="B23" s="13"/>
      <c r="D23" t="s">
        <v>22</v>
      </c>
    </row>
    <row r="24" spans="1:4" x14ac:dyDescent="0.25">
      <c r="A24" t="s">
        <v>171</v>
      </c>
      <c r="B24" s="13"/>
      <c r="D24" t="s">
        <v>23</v>
      </c>
    </row>
    <row r="25" spans="1:4" x14ac:dyDescent="0.25">
      <c r="A25" t="s">
        <v>172</v>
      </c>
      <c r="B25" s="13"/>
      <c r="D25" t="s">
        <v>24</v>
      </c>
    </row>
    <row r="26" spans="1:4" x14ac:dyDescent="0.25">
      <c r="A26" t="s">
        <v>173</v>
      </c>
      <c r="B26" s="13"/>
      <c r="D26" t="s">
        <v>25</v>
      </c>
    </row>
    <row r="27" spans="1:4" x14ac:dyDescent="0.25">
      <c r="A27" t="s">
        <v>174</v>
      </c>
      <c r="B27" s="13"/>
      <c r="D27" t="s">
        <v>26</v>
      </c>
    </row>
    <row r="28" spans="1:4" x14ac:dyDescent="0.25">
      <c r="A28" t="s">
        <v>240</v>
      </c>
      <c r="B28" s="17"/>
      <c r="D28" t="s">
        <v>233</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 B15</xm:sqref>
        </x14:dataValidation>
        <x14:dataValidation type="list" allowBlank="1" showInputMessage="1" showErrorMessage="1" promptTitle="Type of Chromatography" prompt="Type of Chromatography used for method." xr:uid="{15164113-7936-4D63-AF39-40940BF590FC}">
          <x14:formula1>
            <xm:f>Input_Validation!$B$3:$B$6</xm:f>
          </x14:formula1>
          <xm:sqref>B4</xm:sqref>
        </x14:dataValidation>
        <x14:dataValidation type="list" allowBlank="1" showInputMessage="1" showErrorMessage="1" promptTitle="Chromatograph Vendor" prompt="Vendor/Manufacturer of the chromatograph used" xr:uid="{279916E4-3152-4799-9850-0FAF2AD98E3D}">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6AE147DC-2A84-40A5-9959-EB31CCE692D6}">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40E7867D-8CD9-4A7D-8A4C-816A190A20E5}">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A6511EC9-3CC8-4DC8-B63D-C911582A790D}">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0A5EF4FC-AD3E-4EEB-9584-9C7CE579FFBB}">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75AAB371-B232-4358-B483-35BBAD4BD3DE}">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35A1C4A9-A301-4E2F-BA73-F561707022FB}">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151CD63F-3DFB-4D67-AC01-9C1D951E5CCF}">
          <x14:formula1>
            <xm:f>Input_Validation!$K$3:$K$11</xm:f>
          </x14:formula1>
          <xm:sqref>B14</xm:sqref>
        </x14:dataValidation>
        <x14:dataValidation type="list" allowBlank="1" showInputMessage="1" showErrorMessage="1" promptTitle="Guard Column Vendor" prompt="Vendor/Manufacturer of the guard column, use &quot;none&quot; if not used." xr:uid="{DBE0AD13-1BA6-47D2-A8B9-492B30755BD3}">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74FB8026-2F23-41BF-A224-9906768C23CB}">
          <x14:formula1>
            <xm:f>Input_Validation!$P$3:$P$11</xm:f>
          </x14:formula1>
          <xm:sqref>B18</xm:sqref>
        </x14:dataValidation>
        <x14:dataValidation type="list" allowBlank="1" showInputMessage="1" showErrorMessage="1" promptTitle="Analytical Column Vendor" prompt="Vendor/Manufacturer of the analytical column" xr:uid="{0B66E0A7-2251-447E-BFB4-F107D5CEA733}">
          <x14:formula1>
            <xm:f>Input_Validation!$M$3:$M$10</xm:f>
          </x14:formula1>
          <xm:sqref>B22</xm:sqref>
        </x14:dataValidation>
        <x14:dataValidation type="list" allowBlank="1" showInputMessage="1" showErrorMessage="1" promptTitle="Analytical Column Phase" prompt="Stationary phase chemistry/ligand of the chromatography column" xr:uid="{120409FD-00C8-4173-A7B2-DD30B1CAA1FC}">
          <x14:formula1>
            <xm:f>Input_Validation!$N$3:$N$11</xm:f>
          </x14:formula1>
          <xm:sqref>B24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C2" sqref="C2"/>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228</v>
      </c>
    </row>
    <row r="4" spans="1:6" x14ac:dyDescent="0.25">
      <c r="A4" t="s">
        <v>31</v>
      </c>
      <c r="B4" s="13"/>
      <c r="D4" t="s">
        <v>133</v>
      </c>
      <c r="F4" s="16" t="s">
        <v>255</v>
      </c>
    </row>
    <row r="5" spans="1:6" x14ac:dyDescent="0.25">
      <c r="A5" t="s">
        <v>131</v>
      </c>
      <c r="B5" s="13"/>
      <c r="D5" t="s">
        <v>132</v>
      </c>
      <c r="F5" s="20" t="s">
        <v>256</v>
      </c>
    </row>
    <row r="6" spans="1:6" x14ac:dyDescent="0.25">
      <c r="A6" t="s">
        <v>32</v>
      </c>
      <c r="B6" s="13"/>
      <c r="D6" t="s">
        <v>234</v>
      </c>
    </row>
    <row r="7" spans="1:6" x14ac:dyDescent="0.25">
      <c r="A7" t="s">
        <v>33</v>
      </c>
      <c r="B7" s="13"/>
      <c r="D7" t="s">
        <v>35</v>
      </c>
    </row>
    <row r="8" spans="1:6" x14ac:dyDescent="0.25">
      <c r="A8" t="s">
        <v>229</v>
      </c>
      <c r="B8" s="13"/>
      <c r="D8" t="s">
        <v>235</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177</v>
      </c>
      <c r="B12" s="13"/>
      <c r="D12" t="s">
        <v>46</v>
      </c>
    </row>
    <row r="13" spans="1:6" x14ac:dyDescent="0.25">
      <c r="A13" t="s">
        <v>230</v>
      </c>
      <c r="B13" s="13"/>
      <c r="D13" t="s">
        <v>236</v>
      </c>
    </row>
    <row r="14" spans="1:6" x14ac:dyDescent="0.25">
      <c r="A14" t="s">
        <v>179</v>
      </c>
      <c r="B14" s="13"/>
      <c r="D14" t="s">
        <v>237</v>
      </c>
    </row>
    <row r="15" spans="1:6" x14ac:dyDescent="0.25">
      <c r="A15" t="s">
        <v>180</v>
      </c>
      <c r="B15" s="13"/>
      <c r="D15" t="s">
        <v>238</v>
      </c>
    </row>
    <row r="16" spans="1:6" x14ac:dyDescent="0.25">
      <c r="A16" t="s">
        <v>58</v>
      </c>
      <c r="B16" s="13"/>
      <c r="D16" t="s">
        <v>59</v>
      </c>
    </row>
    <row r="17" spans="1:4" x14ac:dyDescent="0.25">
      <c r="A17" t="s">
        <v>60</v>
      </c>
      <c r="B17" s="22"/>
      <c r="D17" t="s">
        <v>61</v>
      </c>
    </row>
    <row r="18" spans="1:4" x14ac:dyDescent="0.25">
      <c r="A18" t="s">
        <v>181</v>
      </c>
      <c r="B18" s="13"/>
      <c r="D18" t="s">
        <v>126</v>
      </c>
    </row>
    <row r="19" spans="1:4" x14ac:dyDescent="0.25">
      <c r="A19" t="s">
        <v>127</v>
      </c>
      <c r="B19" s="13"/>
      <c r="D19" t="s">
        <v>129</v>
      </c>
    </row>
    <row r="20" spans="1:4" x14ac:dyDescent="0.25">
      <c r="A20" t="s">
        <v>128</v>
      </c>
      <c r="B20" s="22"/>
      <c r="D20" t="s">
        <v>130</v>
      </c>
    </row>
    <row r="21" spans="1:4" x14ac:dyDescent="0.25">
      <c r="A21" t="s">
        <v>239</v>
      </c>
      <c r="B21" s="19"/>
      <c r="D21" t="s">
        <v>233</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3E78576B-9FCA-49F0-AFA9-A9ADDCAD4A1A}">
          <x14:formula1>
            <xm:f>Input_Validation!$Q$3:$Q$8</xm:f>
          </x14:formula1>
          <xm:sqref>B4</xm:sqref>
        </x14:dataValidation>
        <x14:dataValidation type="list" allowBlank="1" showInputMessage="1" showErrorMessage="1" promptTitle="Ionization Mode" prompt="Mode of ionization of the mass spectrometer." xr:uid="{A7A4F659-DE4D-4F97-BC78-C6D89929A322}">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607000C6-E552-4541-A4BC-D7E6A6BCAB9A}">
          <x14:formula1>
            <xm:f>Input_Validation!$S$3:$S$4</xm:f>
          </x14:formula1>
          <xm:sqref>B7</xm:sqref>
        </x14:dataValidation>
        <x14:dataValidation type="list" allowBlank="1" showInputMessage="1" showErrorMessage="1" promptTitle="Ionization Voltage/Current Units" prompt="Units for the above-noted ionization voltage or current." xr:uid="{B61BE5BC-F159-44B3-A496-C38CD03030A3}">
          <x14:formula1>
            <xm:f>Input_Validation!$T$3:$T$7</xm:f>
          </x14:formula1>
          <xm:sqref>B9</xm:sqref>
        </x14:dataValidation>
        <x14:dataValidation type="list" allowBlank="1" showInputMessage="1" showErrorMessage="1" promptTitle="First Mass Analyzer" prompt="First mass analyzer in the mass spectrometer." xr:uid="{21350BFE-74F8-4B50-9377-D2CAC7180FE8}">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0A0A217A-FA07-4F42-BD35-1CCCF6224514}">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A23DA005-4177-457E-836C-58A2E4DC7D39}">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A1C5DE8E-5765-4CFD-B798-2C83195F897C}">
          <x14:formula1>
            <xm:f>Input_Validation!$X$3:$X$4</xm:f>
          </x14:formula1>
          <xm:sqref>B14</xm:sqref>
        </x14:dataValidation>
        <x14:dataValidation type="list" allowBlank="1" showInputMessage="1" showErrorMessage="1" promptTitle="Fragmentation Energy Units" prompt="Units of the fragmentation/collision energy value above." xr:uid="{CE711BE8-F4BD-4E99-804C-D98D149076E2}">
          <x14:formula1>
            <xm:f>Input_Validation!$Y$3:$Y$4</xm:f>
          </x14:formula1>
          <xm:sqref>B15</xm:sqref>
        </x14:dataValidation>
        <x14:dataValidation type="list" allowBlank="1" showInputMessage="1" showErrorMessage="1" promptTitle="MS2 Experiment" prompt="Type of fragmentation/MS2 experiment." xr:uid="{0590E8FA-C7D3-4939-9DD7-604D14095F4F}">
          <x14:formula1>
            <xm:f>Input_Validation!$Z$3:$Z$6</xm:f>
          </x14:formula1>
          <xm:sqref>B16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E16" sqref="E16"/>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242</v>
      </c>
      <c r="D3" s="4"/>
      <c r="E3" s="1" t="s">
        <v>228</v>
      </c>
    </row>
    <row r="4" spans="1:7" x14ac:dyDescent="0.25">
      <c r="A4" t="s">
        <v>241</v>
      </c>
      <c r="B4" s="13"/>
      <c r="C4" s="23"/>
      <c r="E4" t="s">
        <v>51</v>
      </c>
      <c r="G4" s="16" t="s">
        <v>255</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44E9DC29-C91B-4856-9299-6556D12B8A1A}">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A2062837-1205-4320-9659-A79E8644C076}">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1CB65A5C-EC96-4B0C-88F8-ABFB42E2ABC7}">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D192995C-7B46-427A-83E7-3871F7EEB0FD}">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E14D2E05-B1B8-44D8-86EC-CF8B64283D53}">
          <x14:formula1>
            <xm:f>Input_Validation!$AE$3:$AE$4</xm:f>
          </x14:formula1>
          <xm:sqref>B8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H21" sqref="H21"/>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257</v>
      </c>
      <c r="E1" s="26"/>
      <c r="F1" s="27"/>
    </row>
    <row r="2" spans="1:8" x14ac:dyDescent="0.25">
      <c r="A2" s="1" t="s">
        <v>6</v>
      </c>
      <c r="B2" s="9"/>
      <c r="C2" s="9"/>
    </row>
    <row r="3" spans="1:8" x14ac:dyDescent="0.25">
      <c r="A3" s="5" t="s">
        <v>62</v>
      </c>
      <c r="B3" s="8" t="s">
        <v>182</v>
      </c>
      <c r="C3" s="5" t="s">
        <v>184</v>
      </c>
      <c r="D3" s="5" t="s">
        <v>63</v>
      </c>
      <c r="E3" s="5" t="s">
        <v>64</v>
      </c>
      <c r="F3" s="5" t="s">
        <v>65</v>
      </c>
      <c r="G3" s="5" t="s">
        <v>66</v>
      </c>
      <c r="H3" s="8" t="s">
        <v>262</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Schymanski et al (https://doi.org/10.1021/es5002105)"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confidence" prompt="The confidence level of the identification, based on the Schymanski et al (https://doi.org/10.1021/es5002105)" xr:uid="{A82B4A65-35A6-4149-841D-3072F131E92E}">
          <x14:formula1>
            <xm:f>Input_Validation!$AG$3:$AG$8</xm:f>
          </x14:formula1>
          <xm:sqref>H4:H1048576</xm:sqref>
        </x14:dataValidation>
        <x14:dataValidation type="list" allowBlank="1" showInputMessage="1" showErrorMessage="1" promptTitle="Ion State" prompt="The ion state of the measured precursor/molecular ion associated with the entered compound identity and m/z value." xr:uid="{BDFED619-E8A6-4D9C-823A-1185614892F2}">
          <x14:formula1>
            <xm:f>Input_Validation!$AF$3:$AF$12</xm:f>
          </x14:formula1>
          <xm:sqref>C4:C1048576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254</v>
      </c>
      <c r="B7" t="b">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vt:lpstr>
      <vt:lpstr>Input_Validation</vt:lpstr>
      <vt:lpstr>Sample_Input</vt:lpstr>
      <vt:lpstr>Import</vt:lpstr>
      <vt:lpstr>Chromatography_Input</vt:lpstr>
      <vt:lpstr>Mass Spectrometry_Input</vt:lpstr>
      <vt:lpstr>QC Method_Input</vt:lpstr>
      <vt:lpstr>Peaks_Input</vt:lpstr>
      <vt:lpstr>QC_Check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2022-03-25T19:23:03Z</dcterms:modified>
</cp:coreProperties>
</file>