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bjp\Documents\code_repository\NISTPFAS\NISTPFAS\methodreportingtool\"/>
    </mc:Choice>
  </mc:AlternateContent>
  <xr:revisionPtr revIDLastSave="0" documentId="8_{83815F70-7AA1-473D-92D5-4D31D9B16CAC}" xr6:coauthVersionLast="47" xr6:coauthVersionMax="47" xr10:uidLastSave="{00000000-0000-0000-0000-000000000000}"/>
  <bookViews>
    <workbookView xWindow="-120" yWindow="-120" windowWidth="25440" windowHeight="15390" firstSheet="1" activeTab="1" xr2:uid="{90B8E717-CD35-4EBB-A047-3C52215825F8}"/>
  </bookViews>
  <sheets>
    <sheet name="QC_Check" sheetId="13" state="hidden" r:id="rId1"/>
    <sheet name="Run" sheetId="10" r:id="rId2"/>
    <sheet name="Input_Validation" sheetId="11" state="hidden" r:id="rId3"/>
    <sheet name="Import" sheetId="12" state="hidden" r:id="rId4"/>
    <sheet name="Sample_Input" sheetId="5" r:id="rId5"/>
    <sheet name="Chromatography_Input" sheetId="1" r:id="rId6"/>
    <sheet name="Mass Spectrometry_Input" sheetId="3" r:id="rId7"/>
    <sheet name="QC Method_Input" sheetId="4" r:id="rId8"/>
    <sheet name="Peaks_Input" sheetId="8" r:id="rId9"/>
  </sheets>
  <definedNames>
    <definedName name="_xlnm._FilterDatabase" localSheetId="2" hidden="1">Input_Validation!$K$3:$K$7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2" i="10" l="1"/>
  <c r="B4" i="13"/>
  <c r="C7" i="10" s="1"/>
  <c r="B3" i="13"/>
  <c r="C6" i="10" s="1"/>
  <c r="B6" i="13"/>
  <c r="C9" i="10" s="1"/>
  <c r="B5" i="13"/>
  <c r="C8" i="10" s="1"/>
  <c r="B2" i="13"/>
  <c r="C5" i="10" s="1"/>
</calcChain>
</file>

<file path=xl/sharedStrings.xml><?xml version="1.0" encoding="utf-8"?>
<sst xmlns="http://schemas.openxmlformats.org/spreadsheetml/2006/main" count="438" uniqueCount="279">
  <si>
    <t>Chromatography</t>
  </si>
  <si>
    <t>Mobile Phase 1 Solvent</t>
  </si>
  <si>
    <t>Mobile Phase 1 Additive</t>
  </si>
  <si>
    <t>Value</t>
  </si>
  <si>
    <t>Description</t>
  </si>
  <si>
    <t>Type of Chromatography</t>
  </si>
  <si>
    <t>User Input</t>
  </si>
  <si>
    <t>ThermoFisher Scientific</t>
  </si>
  <si>
    <t>Mobile Phase 2 Solvent</t>
  </si>
  <si>
    <t>Mobile Phase 2 Additive</t>
  </si>
  <si>
    <t>Mobile Phase 3 Solvent</t>
  </si>
  <si>
    <t>Mobile Phase 3 Additive</t>
  </si>
  <si>
    <t>Mobile Phase 4 Solvent</t>
  </si>
  <si>
    <t>Mobile Phase 4 Additive</t>
  </si>
  <si>
    <t>none</t>
  </si>
  <si>
    <t>mp1solvent</t>
  </si>
  <si>
    <t>mp1add</t>
  </si>
  <si>
    <t>mp2add</t>
  </si>
  <si>
    <t>mp3solvent</t>
  </si>
  <si>
    <t>mp3add</t>
  </si>
  <si>
    <t>mp4solvent</t>
  </si>
  <si>
    <t>mp4add</t>
  </si>
  <si>
    <t>colname</t>
  </si>
  <si>
    <t>colchemistry</t>
  </si>
  <si>
    <t>colid</t>
  </si>
  <si>
    <t>collen</t>
  </si>
  <si>
    <t>coldp</t>
  </si>
  <si>
    <t>Chromatograph Vendor</t>
  </si>
  <si>
    <t>Agilent Technologies</t>
  </si>
  <si>
    <t>cvendor</t>
  </si>
  <si>
    <t>Mass Spectrometry</t>
  </si>
  <si>
    <t>Mass Spectrometer Vendor</t>
  </si>
  <si>
    <t>Ionization Mode</t>
  </si>
  <si>
    <t>Polarity</t>
  </si>
  <si>
    <t>negative</t>
  </si>
  <si>
    <t>polarity</t>
  </si>
  <si>
    <t>Ionization Voltage/Current Units</t>
  </si>
  <si>
    <t>V</t>
  </si>
  <si>
    <t>vunits</t>
  </si>
  <si>
    <t>First Mass Analyzer</t>
  </si>
  <si>
    <t>quadrupole</t>
  </si>
  <si>
    <t>massanalyzer1</t>
  </si>
  <si>
    <t>Second Mass Analyzer</t>
  </si>
  <si>
    <t>orbitrap</t>
  </si>
  <si>
    <t>massanalyzer2</t>
  </si>
  <si>
    <t>HCD</t>
  </si>
  <si>
    <t>fragmode</t>
  </si>
  <si>
    <t>Mass Analyzer Calibration</t>
  </si>
  <si>
    <t>External Standard Verification</t>
  </si>
  <si>
    <t>Internal Standard Verification</t>
  </si>
  <si>
    <t>Matrix Standard Verification</t>
  </si>
  <si>
    <t>qctype</t>
  </si>
  <si>
    <t>QC Method</t>
  </si>
  <si>
    <t>Sample Information</t>
  </si>
  <si>
    <t>File Name</t>
  </si>
  <si>
    <t>Sample Name</t>
  </si>
  <si>
    <t>description</t>
  </si>
  <si>
    <t>Sample Class</t>
  </si>
  <si>
    <t>MS2 Experiment</t>
  </si>
  <si>
    <t>ms2exp</t>
  </si>
  <si>
    <t>Isolation Width/Window (Da)</t>
  </si>
  <si>
    <t>isowidth</t>
  </si>
  <si>
    <t>name</t>
  </si>
  <si>
    <t>mz</t>
  </si>
  <si>
    <t>rt</t>
  </si>
  <si>
    <t>peak_starttime</t>
  </si>
  <si>
    <t>peak_endtime</t>
  </si>
  <si>
    <t>analytical standard</t>
  </si>
  <si>
    <t>solution reference material</t>
  </si>
  <si>
    <t>matrix reference material</t>
  </si>
  <si>
    <t>drinking water</t>
  </si>
  <si>
    <t>groundwater / surface water</t>
  </si>
  <si>
    <t>aqueous film-forming foam (AFFF)</t>
  </si>
  <si>
    <t>commercial formulation</t>
  </si>
  <si>
    <t>landfill leachate</t>
  </si>
  <si>
    <t>soil/sediment</t>
  </si>
  <si>
    <t>Liquid Chromatography</t>
  </si>
  <si>
    <t>Gas Chromatography</t>
  </si>
  <si>
    <t>Capillary Electrophoresis</t>
  </si>
  <si>
    <t>None</t>
  </si>
  <si>
    <t>Waters Corporation</t>
  </si>
  <si>
    <t>Shimadzu Corporation</t>
  </si>
  <si>
    <t>SCIEX</t>
  </si>
  <si>
    <t>Bruker Corporation</t>
  </si>
  <si>
    <t>Dionex</t>
  </si>
  <si>
    <t>acetonitrile</t>
  </si>
  <si>
    <t>ammonium acetate</t>
  </si>
  <si>
    <t>methanol</t>
  </si>
  <si>
    <t>ammonium formate</t>
  </si>
  <si>
    <t>isopropanol</t>
  </si>
  <si>
    <t>ammonium hydroxide</t>
  </si>
  <si>
    <t>water</t>
  </si>
  <si>
    <t>formic acid</t>
  </si>
  <si>
    <t>acetic acid</t>
  </si>
  <si>
    <t>trifluoroacetic acid</t>
  </si>
  <si>
    <t>Higgins Analytical</t>
  </si>
  <si>
    <t>Step 1) Fill out the data in each Input sheet</t>
  </si>
  <si>
    <t>Sample_Input</t>
  </si>
  <si>
    <t>Chromatography_Input</t>
  </si>
  <si>
    <t>Mass Spectrometry_Input</t>
  </si>
  <si>
    <t>QC Method_Input</t>
  </si>
  <si>
    <t>Peaks_Input</t>
  </si>
  <si>
    <t>Sheet</t>
  </si>
  <si>
    <t>Complete?</t>
  </si>
  <si>
    <t>Contact pfas@nist.gov to find out how to share data.</t>
  </si>
  <si>
    <t>Was a QA/QC Method Used</t>
  </si>
  <si>
    <t>positive</t>
  </si>
  <si>
    <t>kV</t>
  </si>
  <si>
    <t>A</t>
  </si>
  <si>
    <t>μA</t>
  </si>
  <si>
    <t>eV</t>
  </si>
  <si>
    <t>linear ion-trap</t>
  </si>
  <si>
    <t>magnetic sector</t>
  </si>
  <si>
    <t>time-of-flight</t>
  </si>
  <si>
    <t>CID</t>
  </si>
  <si>
    <t>SWATH</t>
  </si>
  <si>
    <t>normalized</t>
  </si>
  <si>
    <t>stepped</t>
  </si>
  <si>
    <t>fixed</t>
  </si>
  <si>
    <t>Step 3) Aggregate Date into output file</t>
  </si>
  <si>
    <t>Step 2) Press "Create Annotation Tables" to annotate the fragments of the peaks [optional]</t>
  </si>
  <si>
    <t>Step 4) Give data to NIST</t>
  </si>
  <si>
    <t>Tables Generated:</t>
  </si>
  <si>
    <t>Sample Solvent</t>
  </si>
  <si>
    <t>ssolvent</t>
  </si>
  <si>
    <t>msaccuracy</t>
  </si>
  <si>
    <t>MS1 Resolution</t>
  </si>
  <si>
    <t>MS2 Resolution</t>
  </si>
  <si>
    <t>ms1resolution</t>
  </si>
  <si>
    <t>ms2resolution</t>
  </si>
  <si>
    <t>Mass Spectrometer Model</t>
  </si>
  <si>
    <t>msmodel</t>
  </si>
  <si>
    <t>msvendor</t>
  </si>
  <si>
    <t>Chromatograph Model</t>
  </si>
  <si>
    <t>cmodel</t>
  </si>
  <si>
    <t>ctype</t>
  </si>
  <si>
    <t>m2solvent</t>
  </si>
  <si>
    <t>Guard Column Vendor</t>
  </si>
  <si>
    <t>gcolvendor</t>
  </si>
  <si>
    <t>colvendor</t>
  </si>
  <si>
    <t>Guard Column Phase</t>
  </si>
  <si>
    <t>gcolchemistry</t>
  </si>
  <si>
    <t>gcolname</t>
  </si>
  <si>
    <t>Phenomenex</t>
  </si>
  <si>
    <t>Restek Corporation</t>
  </si>
  <si>
    <t>YMC</t>
  </si>
  <si>
    <t>pentafluorophenyl (PFP)</t>
  </si>
  <si>
    <t>biphenyl</t>
  </si>
  <si>
    <t>octadecyl (C18)</t>
  </si>
  <si>
    <t>octyl (C8)</t>
  </si>
  <si>
    <t>silica</t>
  </si>
  <si>
    <t>diol</t>
  </si>
  <si>
    <t>pentadiol</t>
  </si>
  <si>
    <t>mixed-phase</t>
  </si>
  <si>
    <t>methylene chloride</t>
  </si>
  <si>
    <t>chloroform</t>
  </si>
  <si>
    <t>ethanol</t>
  </si>
  <si>
    <t>industrial effluent</t>
  </si>
  <si>
    <t>non-human biological material</t>
  </si>
  <si>
    <t>human biological material</t>
  </si>
  <si>
    <t>food</t>
  </si>
  <si>
    <t>textile</t>
  </si>
  <si>
    <t>Guard Column Inner Diameter</t>
  </si>
  <si>
    <t>Guard Column Length</t>
  </si>
  <si>
    <t>Guard Column Particle Diameter/Film Thickness</t>
  </si>
  <si>
    <t>gcolid</t>
  </si>
  <si>
    <t>gcollen</t>
  </si>
  <si>
    <t>gcoldp</t>
  </si>
  <si>
    <t>hexane</t>
  </si>
  <si>
    <t>Analytical Column Vendor</t>
  </si>
  <si>
    <t>Analytical Column Phase</t>
  </si>
  <si>
    <t>Analytical Column Inner Diameter</t>
  </si>
  <si>
    <t>Analytical Column Length</t>
  </si>
  <si>
    <t>Analytical Column Particle Diameter/Film Thickness</t>
  </si>
  <si>
    <t>Guard Column Brand Name</t>
  </si>
  <si>
    <t>Analytical Column Brand Name</t>
  </si>
  <si>
    <t>Fragmentation Type</t>
  </si>
  <si>
    <t>in-source fragmentation</t>
  </si>
  <si>
    <t>Fragmentation Energy Type</t>
  </si>
  <si>
    <t>Fragmentation Energy Units</t>
  </si>
  <si>
    <t>Instrument Mass Accuracy (ppm)</t>
  </si>
  <si>
    <t>Suspect List ID</t>
  </si>
  <si>
    <t>fourier transform ion cyclotron resonance</t>
  </si>
  <si>
    <t>Ion State</t>
  </si>
  <si>
    <t>[M+H]+</t>
  </si>
  <si>
    <t>[M]+</t>
  </si>
  <si>
    <t>[M+Na]+</t>
  </si>
  <si>
    <t>[M+K]+</t>
  </si>
  <si>
    <t>[M+NH4]+</t>
  </si>
  <si>
    <t>[M-H2O+H]+</t>
  </si>
  <si>
    <t>[M]-</t>
  </si>
  <si>
    <t>[M-FCO2H]-</t>
  </si>
  <si>
    <t>[2M-H]-</t>
  </si>
  <si>
    <t>[M-H]-</t>
  </si>
  <si>
    <t>other</t>
  </si>
  <si>
    <t>Type of sample analyzed. Input is restricted.</t>
  </si>
  <si>
    <t>Type of Chromatography used for method.</t>
  </si>
  <si>
    <t>Vendor/Manufacturer of the chromatograph used</t>
  </si>
  <si>
    <t>Primary solvent consistuent of the sample, as injected.</t>
  </si>
  <si>
    <t>The primary solvent component (&gt;= 50 %)of the chromatography mobile phase 1 (mobile phase A). Use 'none' if using GC or no chromatography.</t>
  </si>
  <si>
    <t>The primary buffer/acid/base additive used in mobile phase 1 (mobile phase A)</t>
  </si>
  <si>
    <t>The primary solvent component (&gt;= 50 %)of the chromatography mobile phase 2 (mobile phase B). Use 'none' if using GC or no chromatography.</t>
  </si>
  <si>
    <t>The primary buffer/acid/base additive used in mobile phase 2 (mobile phase B)</t>
  </si>
  <si>
    <t>The primary solvent component (&gt;= 50 %)of the chromatography mobile phase 3 (mobile phase C). Use 'none' if using GC or no chromatography.</t>
  </si>
  <si>
    <t>The primary buffer/acid/base additive used in mobile phase 3 (mobile phase C)</t>
  </si>
  <si>
    <t>The primary solvent component (&gt;= 50 %)of the chromatography mobile phase 4 (mobile phase D). Use 'none' if using GC or no chromatography.</t>
  </si>
  <si>
    <t>The primary buffer/acid/base additive used in mobile phase 4 (mobile phase D)</t>
  </si>
  <si>
    <t>Vendor/Manufacturer of the analytical column</t>
  </si>
  <si>
    <t>Stationary phase chemistry/ligand of the chromatography column</t>
  </si>
  <si>
    <t>Vendor/Manufacturer of the guard column, use "none" if not used.</t>
  </si>
  <si>
    <t>Stationary phase chemistry/ligand of the chromatography column, use 'none' if not used.</t>
  </si>
  <si>
    <t>Vendor/Manufacturer of the mass spectrometer used.</t>
  </si>
  <si>
    <t>Mode of ionization of the mass spectrometer.</t>
  </si>
  <si>
    <t>Polarity of the ionization for the submitted compounds (one ionization polarity per submission).</t>
  </si>
  <si>
    <t>Units for the above-noted ionization voltage or current.</t>
  </si>
  <si>
    <t>First mass analyzer in the mass spectrometer.</t>
  </si>
  <si>
    <t>Last mass analyzer in the mass spectrometer. Use 'none' if only one mass analyzer was used.</t>
  </si>
  <si>
    <t>Type of fragmentation (or collisional dissociation) used for the generation of fragments.</t>
  </si>
  <si>
    <t>Type of fragmentation/collision energy used for mass spectrometer. If a stepped/ranged collision energy is used, select "Stepped", all other types select "Fixed"</t>
  </si>
  <si>
    <t>Units of the fragmentation/collision energy value above.</t>
  </si>
  <si>
    <t>The ion state of the measured precursor/molecular ion associated with the entered compound identity and m/z value.</t>
  </si>
  <si>
    <t>During the collection of the submitted data, did the user apply a quality assurance or quality control protocol?</t>
  </si>
  <si>
    <t>Was the mass analyzer (quadrupole, orbitrap, time-of-flight, ion trap, etc.) calibrated and within performance requirements prior to analysis?</t>
  </si>
  <si>
    <t>Was the performance of the method verified using chemical standards spiked in a blank solvent (non-matrix) solution?</t>
  </si>
  <si>
    <t>Was the performance of the method verified using chemical standards spiked into the sample solutions?</t>
  </si>
  <si>
    <t>Was the performance of the method verified using matrix-matched solution containing known chemicals (not spiked)?</t>
  </si>
  <si>
    <t>Type of fragmentation/MS2 experiment.</t>
  </si>
  <si>
    <t>JSON Parameter</t>
  </si>
  <si>
    <t>Ionization Voltage/Current Value</t>
  </si>
  <si>
    <t>Fragmentation Energy Value</t>
  </si>
  <si>
    <t>sample_class</t>
  </si>
  <si>
    <t>data_generator</t>
  </si>
  <si>
    <t>source</t>
  </si>
  <si>
    <t>ionization</t>
  </si>
  <si>
    <t>voltage</t>
  </si>
  <si>
    <t>ce_value</t>
  </si>
  <si>
    <t>ce_desc</t>
  </si>
  <si>
    <t>ce_units</t>
  </si>
  <si>
    <t>MS Method Source</t>
  </si>
  <si>
    <t>Chromatography Method Source</t>
  </si>
  <si>
    <t>QC Method Used</t>
  </si>
  <si>
    <t>Documentation</t>
  </si>
  <si>
    <t>electrospray ionization (ESI)</t>
  </si>
  <si>
    <t>atmospheric pressure chemical ionization (APCI)</t>
  </si>
  <si>
    <t>atmospheric pressure photoionization (APPI)</t>
  </si>
  <si>
    <t>chemical ionization (CI)</t>
  </si>
  <si>
    <t>electron ionization (EI)</t>
  </si>
  <si>
    <t>data-dependent acquisition (DDA/TopN)</t>
  </si>
  <si>
    <t>data-independent acquisition (DIA/AIF)</t>
  </si>
  <si>
    <t>Submitter Email</t>
  </si>
  <si>
    <t>Sample Information Source</t>
  </si>
  <si>
    <t>Sample Injection Solvent</t>
  </si>
  <si>
    <t>ETD</t>
  </si>
  <si>
    <t>Tables Generated</t>
  </si>
  <si>
    <t>Gray cells are required</t>
  </si>
  <si>
    <t>Blue cells are dependent</t>
  </si>
  <si>
    <t>All columns are required</t>
  </si>
  <si>
    <t>Additional Tools</t>
  </si>
  <si>
    <t>Export only the method data</t>
  </si>
  <si>
    <t>Import JSON file</t>
  </si>
  <si>
    <t>Reset entire workbook</t>
  </si>
  <si>
    <t>confidence</t>
  </si>
  <si>
    <t>Level 4 - Unequivocal molecular formula</t>
  </si>
  <si>
    <t>Level 1b - Indistinguishable from reference standard</t>
  </si>
  <si>
    <t>Level 2a - Probable by library spectrum match</t>
  </si>
  <si>
    <t>Level 1a - Confirmed by reference standard</t>
  </si>
  <si>
    <t>Level 2b - Probable by diagnostic fragmentation evidence</t>
  </si>
  <si>
    <t>Level 2c - Probable by diagnostic homologue evidence</t>
  </si>
  <si>
    <t>Level 3a - Positional isomer candidates</t>
  </si>
  <si>
    <t>Level 3b - Fragmentation-based candidate</t>
  </si>
  <si>
    <t>Level 5a - PFAS suspect screening exact mass match</t>
  </si>
  <si>
    <t>Level 5b - Nontarget PFAS exact mass of interest</t>
  </si>
  <si>
    <t>Method Reporting Tool for Non-Targeted Analyses of Per- and Polyfluoroalkyl Substances</t>
  </si>
  <si>
    <t>Level 3d - Circumstantial candidate based on homologues</t>
  </si>
  <si>
    <t>Level 3c - Circumstantial candidate based on fragmentation</t>
  </si>
  <si>
    <t>The confidence level of the identification, based on the Charbonnet et al (DOI 10.1021/acs.estlett.2c00206)</t>
  </si>
  <si>
    <t>Instrument Minimum Mass Error (Da)</t>
  </si>
  <si>
    <t>msminerror</t>
  </si>
  <si>
    <t>Version 1.7P updated 1/23/2023 BJP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</si>
</sst>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1"/>
      <color theme="1"/>
      <name val="Calibri"/>
      <family val="2"/>
      <scheme val="minor"/>
    </font>
    <font>
      <b/>
      <sz val="14"/>
      <color theme="1"/>
      <name val="Calibri"/>
      <family val="2"/>
      <scheme val="minor"/>
    </font>
    <font>
      <sz val="14"/>
      <color rgb="FF000000"/>
      <name val="Calibri"/>
      <family val="2"/>
    </font>
    <font>
      <b/>
      <sz val="16"/>
      <color theme="1"/>
      <name val="Calibri"/>
      <family val="2"/>
      <scheme val="minor"/>
    </font>
    <font>
      <u/>
      <sz val="11"/>
      <color theme="10"/>
      <name val="Calibri"/>
      <family val="2"/>
      <scheme val="minor"/>
    </font>
    <font>
      <i/>
      <sz val="11"/>
      <color theme="1"/>
      <name val="Calibri"/>
      <family val="2"/>
      <scheme val="minor"/>
    </font>
    <font>
      <sz val="11"/>
      <color rgb="FF000000"/>
      <name val="Calibri"/>
      <family val="2"/>
    </font>
    <font>
      <b/>
      <i/>
      <sz val="11"/>
      <color theme="1"/>
      <name val="Calibri"/>
      <family val="2"/>
      <scheme val="minor"/>
    </font>
  </fonts>
  <fills count="5">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theme="4" tint="0.39997558519241921"/>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28">
    <xf numFmtId="0" fontId="0" fillId="0" borderId="0" xfId="0"/>
    <xf numFmtId="0" fontId="1" fillId="0" borderId="0" xfId="0" applyFont="1"/>
    <xf numFmtId="0" fontId="2" fillId="0" borderId="0" xfId="0" applyFont="1"/>
    <xf numFmtId="0" fontId="0" fillId="0" borderId="0" xfId="0" applyAlignment="1">
      <alignment horizontal="left"/>
    </xf>
    <xf numFmtId="0" fontId="1" fillId="0" borderId="0" xfId="0" applyFont="1" applyAlignment="1">
      <alignment horizontal="left"/>
    </xf>
    <xf numFmtId="0" fontId="1" fillId="0" borderId="0" xfId="0" applyFont="1" applyAlignment="1">
      <alignment horizontal="center"/>
    </xf>
    <xf numFmtId="0" fontId="4" fillId="0" borderId="0" xfId="0" applyFont="1"/>
    <xf numFmtId="0" fontId="5" fillId="0" borderId="0" xfId="1"/>
    <xf numFmtId="0" fontId="5" fillId="0" borderId="0" xfId="1" applyAlignment="1">
      <alignment horizontal="center"/>
    </xf>
    <xf numFmtId="0" fontId="0" fillId="0" borderId="0" xfId="0" applyAlignment="1">
      <alignment horizontal="center"/>
    </xf>
    <xf numFmtId="0" fontId="0" fillId="0" borderId="0" xfId="0" applyProtection="1"/>
    <xf numFmtId="0" fontId="0" fillId="0" borderId="0" xfId="0" applyAlignment="1">
      <alignment wrapText="1"/>
    </xf>
    <xf numFmtId="0" fontId="6" fillId="0" borderId="0" xfId="0" applyFont="1"/>
    <xf numFmtId="0" fontId="0" fillId="2" borderId="1" xfId="0" applyFill="1" applyBorder="1" applyAlignment="1" applyProtection="1">
      <alignment horizontal="left"/>
    </xf>
    <xf numFmtId="0" fontId="0" fillId="2" borderId="1" xfId="0" applyFill="1" applyBorder="1" applyAlignment="1">
      <alignment horizontal="left"/>
    </xf>
    <xf numFmtId="0" fontId="0" fillId="2" borderId="1" xfId="1" applyFont="1" applyFill="1" applyBorder="1" applyAlignment="1" applyProtection="1">
      <alignment horizontal="left"/>
    </xf>
    <xf numFmtId="0" fontId="0" fillId="2" borderId="1" xfId="0" applyFill="1" applyBorder="1"/>
    <xf numFmtId="0" fontId="5" fillId="3" borderId="1" xfId="1" applyFill="1" applyBorder="1"/>
    <xf numFmtId="0" fontId="0" fillId="3" borderId="1" xfId="1" applyFont="1" applyFill="1" applyBorder="1"/>
    <xf numFmtId="0" fontId="5" fillId="3" borderId="1" xfId="1" applyFill="1" applyBorder="1" applyAlignment="1">
      <alignment horizontal="left"/>
    </xf>
    <xf numFmtId="0" fontId="0" fillId="4" borderId="1" xfId="0" applyFill="1" applyBorder="1"/>
    <xf numFmtId="0" fontId="0" fillId="4" borderId="1" xfId="0" applyFill="1" applyBorder="1" applyAlignment="1">
      <alignment horizontal="left"/>
    </xf>
    <xf numFmtId="0" fontId="0" fillId="4" borderId="1" xfId="0" applyFill="1" applyBorder="1" applyAlignment="1" applyProtection="1">
      <alignment horizontal="left"/>
    </xf>
    <xf numFmtId="0" fontId="0" fillId="0" borderId="1" xfId="0" applyFill="1" applyBorder="1" applyAlignment="1" applyProtection="1">
      <alignment horizontal="left"/>
    </xf>
    <xf numFmtId="0" fontId="8" fillId="0" borderId="0" xfId="0" applyFont="1"/>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cellXfs>
  <cellStyles count="2">
    <cellStyle name="Hyperlink" xfId="1" builtinId="8"/>
    <cellStyle name="Normal" xfId="0" builtinId="0"/>
  </cellStyles>
  <dxfs count="4">
    <dxf>
      <font>
        <color rgb="FF006100"/>
      </font>
      <fill>
        <patternFill>
          <bgColor rgb="FFC6EFCE"/>
        </patternFill>
      </fill>
    </dxf>
    <dxf>
      <font>
        <color rgb="FFC00000"/>
      </font>
      <fill>
        <patternFill>
          <bgColor rgb="FFFFCCCC"/>
        </patternFill>
      </fill>
    </dxf>
    <dxf>
      <font>
        <color rgb="FF006100"/>
      </font>
      <fill>
        <patternFill>
          <bgColor rgb="FFC6EFCE"/>
        </patternFill>
      </fill>
    </dxf>
    <dxf>
      <font>
        <color rgb="FFC00000"/>
      </font>
      <fill>
        <patternFill>
          <bgColor rgb="FFFFCCCC"/>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2.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1847850</xdr:colOff>
          <xdr:row>13</xdr:row>
          <xdr:rowOff>9525</xdr:rowOff>
        </xdr:from>
        <xdr:to>
          <xdr:col>4</xdr:col>
          <xdr:colOff>514350</xdr:colOff>
          <xdr:row>15</xdr:row>
          <xdr:rowOff>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Export JSON file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276225</xdr:colOff>
          <xdr:row>10</xdr:row>
          <xdr:rowOff>9525</xdr:rowOff>
        </xdr:from>
        <xdr:to>
          <xdr:col>11</xdr:col>
          <xdr:colOff>9525</xdr:colOff>
          <xdr:row>11</xdr:row>
          <xdr:rowOff>180975</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100-00000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Create Annotation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25</xdr:row>
          <xdr:rowOff>19050</xdr:rowOff>
        </xdr:from>
        <xdr:to>
          <xdr:col>3</xdr:col>
          <xdr:colOff>400050</xdr:colOff>
          <xdr:row>26</xdr:row>
          <xdr:rowOff>85725</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100-000004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27</xdr:row>
          <xdr:rowOff>19050</xdr:rowOff>
        </xdr:from>
        <xdr:to>
          <xdr:col>3</xdr:col>
          <xdr:colOff>390525</xdr:colOff>
          <xdr:row>28</xdr:row>
          <xdr:rowOff>104775</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100-000005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22</xdr:row>
          <xdr:rowOff>180975</xdr:rowOff>
        </xdr:from>
        <xdr:to>
          <xdr:col>3</xdr:col>
          <xdr:colOff>390525</xdr:colOff>
          <xdr:row>24</xdr:row>
          <xdr:rowOff>85725</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100-000006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Method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6</xdr:row>
          <xdr:rowOff>9525</xdr:rowOff>
        </xdr:from>
        <xdr:to>
          <xdr:col>6</xdr:col>
          <xdr:colOff>0</xdr:colOff>
          <xdr:row>8</xdr:row>
          <xdr:rowOff>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400-000003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6</xdr:row>
          <xdr:rowOff>9525</xdr:rowOff>
        </xdr:from>
        <xdr:to>
          <xdr:col>6</xdr:col>
          <xdr:colOff>0</xdr:colOff>
          <xdr:row>8</xdr:row>
          <xdr:rowOff>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500-000004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twoCellAnchor editAs="oneCell">
    <xdr:from>
      <xdr:col>5</xdr:col>
      <xdr:colOff>0</xdr:colOff>
      <xdr:row>10</xdr:row>
      <xdr:rowOff>0</xdr:rowOff>
    </xdr:from>
    <xdr:to>
      <xdr:col>16</xdr:col>
      <xdr:colOff>114300</xdr:colOff>
      <xdr:row>15</xdr:row>
      <xdr:rowOff>82364</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819900" y="1952625"/>
          <a:ext cx="7772400" cy="103486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6</xdr:row>
          <xdr:rowOff>9525</xdr:rowOff>
        </xdr:from>
        <xdr:to>
          <xdr:col>6</xdr:col>
          <xdr:colOff>0</xdr:colOff>
          <xdr:row>8</xdr:row>
          <xdr:rowOff>0</xdr:rowOff>
        </xdr:to>
        <xdr:sp macro="" textlink="">
          <xdr:nvSpPr>
            <xdr:cNvPr id="15365" name="Button 5" hidden="1">
              <a:extLst>
                <a:ext uri="{63B3BB69-23CF-44E3-9099-C40C66FF867C}">
                  <a14:compatExt spid="_x0000_s15365"/>
                </a:ext>
                <a:ext uri="{FF2B5EF4-FFF2-40B4-BE49-F238E27FC236}">
                  <a16:creationId xmlns:a16="http://schemas.microsoft.com/office/drawing/2014/main" id="{00000000-0008-0000-0600-000005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twoCellAnchor editAs="oneCell">
    <xdr:from>
      <xdr:col>4</xdr:col>
      <xdr:colOff>600075</xdr:colOff>
      <xdr:row>9</xdr:row>
      <xdr:rowOff>0</xdr:rowOff>
    </xdr:from>
    <xdr:to>
      <xdr:col>12</xdr:col>
      <xdr:colOff>202311</xdr:colOff>
      <xdr:row>20</xdr:row>
      <xdr:rowOff>147828</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972300" y="1762125"/>
          <a:ext cx="5431536" cy="224332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6</xdr:row>
          <xdr:rowOff>9525</xdr:rowOff>
        </xdr:from>
        <xdr:to>
          <xdr:col>7</xdr:col>
          <xdr:colOff>0</xdr:colOff>
          <xdr:row>8</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7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38100</xdr:rowOff>
        </xdr:from>
        <xdr:to>
          <xdr:col>7</xdr:col>
          <xdr:colOff>504825</xdr:colOff>
          <xdr:row>1</xdr:row>
          <xdr:rowOff>171450</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800-00000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doi.org/10.1021/acs.estlett.2c00206" TargetMode="External"/><Relationship Id="rId1" Type="http://schemas.openxmlformats.org/officeDocument/2006/relationships/hyperlink" Target="https://data.nist.gov/od/id/mds2-2387" TargetMode="External"/><Relationship Id="rId6" Type="http://schemas.openxmlformats.org/officeDocument/2006/relationships/ctrlProp" Target="../ctrlProps/ctrlProp10.xml"/><Relationship Id="rId5" Type="http://schemas.openxmlformats.org/officeDocument/2006/relationships/vmlDrawing" Target="../drawings/vmlDrawing6.vml"/><Relationship Id="rId4"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A77A3-0237-48B4-94A3-E122FB619493}">
  <sheetPr codeName="Sheet9"/>
  <dimension ref="A2:B7"/>
  <sheetViews>
    <sheetView workbookViewId="0">
      <selection activeCell="B8" sqref="B8"/>
    </sheetView>
  </sheetViews>
  <sheetFormatPr defaultRowHeight="15" x14ac:dyDescent="0.25"/>
  <cols>
    <col min="1" max="1" width="24" bestFit="1" customWidth="1"/>
  </cols>
  <sheetData>
    <row r="2" spans="1:2" x14ac:dyDescent="0.25">
      <c r="A2" t="s">
        <v>97</v>
      </c>
      <c r="B2" t="b">
        <f>IF(COUNTA(Sample_Input!B4:B7)=4, TRUE, FALSE)</f>
        <v>0</v>
      </c>
    </row>
    <row r="3" spans="1:2" x14ac:dyDescent="0.25">
      <c r="A3" t="s">
        <v>98</v>
      </c>
      <c r="B3" t="b">
        <f>OR(AND(Chromatography_Input!B16="none",COUNTA(Chromatography_Input!B4:B28)=20),AND(Chromatography_Input!B16&lt;&gt;"none", COUNTA(Chromatography_Input!B4:B27)=24))</f>
        <v>0</v>
      </c>
    </row>
    <row r="4" spans="1:2" x14ac:dyDescent="0.25">
      <c r="A4" t="s">
        <v>99</v>
      </c>
      <c r="B4" t="b">
        <f>OR(AND('Mass Spectrometry_Input'!B16="data-independent acquisition (DIA/AIF)", 'Mass Spectrometry_Input'!B11="none", COUNTA('Mass Spectrometry_Input'!B4:B16,'Mass Spectrometry_Input'!B18:B20)=16), AND('Mass Spectrometry_Input'!B16&lt;&gt;"data-independent acquisition (DIA/AIF)", 'Mass Spectrometry_Input'!B11="none", COUNTA('Mass Spectrometry_Input'!B4:B16,'Mass Spectrometry_Input'!B18:B21)=17),AND('Mass Spectrometry_Input'!B16&lt;&gt;"data-independent acquisition (DIA/AIF)", 'Mass Spectrometry_Input'!B11&lt;&gt;"none", COUNTA('Mass Spectrometry_Input'!B4:B21)=18))</f>
        <v>0</v>
      </c>
    </row>
    <row r="5" spans="1:2" x14ac:dyDescent="0.25">
      <c r="A5" t="s">
        <v>100</v>
      </c>
      <c r="B5" t="b">
        <f>IF(COUNTA('QC Method_Input'!B4:B8)=5, TRUE, FALSE)</f>
        <v>0</v>
      </c>
    </row>
    <row r="6" spans="1:2" x14ac:dyDescent="0.25">
      <c r="A6" t="s">
        <v>101</v>
      </c>
      <c r="B6" t="b">
        <f>AND(COUNTA(Peaks_Input!A4:H1048576)&gt;0, COUNTA(Peaks_Input!A4:H1048576)= COUNTA(Peaks_Input!A4:A1048576)*8)</f>
        <v>0</v>
      </c>
    </row>
    <row r="7" spans="1:2" x14ac:dyDescent="0.25">
      <c r="A7" t="s">
        <v>253</v>
      </c>
      <c r="B7" t="b">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10949-81AC-4AFC-9466-DE0339095902}">
  <sheetPr codeName="Sheet3"/>
  <dimension ref="A1:C28"/>
  <sheetViews>
    <sheetView tabSelected="1" workbookViewId="0">
      <selection activeCell="B31" sqref="B31"/>
    </sheetView>
  </sheetViews>
  <sheetFormatPr defaultRowHeight="15" x14ac:dyDescent="0.25"/>
  <cols>
    <col min="2" max="2" width="30.140625" customWidth="1"/>
  </cols>
  <sheetData>
    <row r="1" spans="1:3" ht="21" x14ac:dyDescent="0.35">
      <c r="A1" s="6" t="s">
        <v>272</v>
      </c>
    </row>
    <row r="2" spans="1:3" x14ac:dyDescent="0.25">
      <c r="C2" s="12" t="s">
        <v>278</v>
      </c>
    </row>
    <row r="3" spans="1:3" x14ac:dyDescent="0.25">
      <c r="A3" s="1" t="s">
        <v>96</v>
      </c>
    </row>
    <row r="4" spans="1:3" x14ac:dyDescent="0.25">
      <c r="B4" s="1" t="s">
        <v>102</v>
      </c>
      <c r="C4" s="1" t="s">
        <v>103</v>
      </c>
    </row>
    <row r="5" spans="1:3" x14ac:dyDescent="0.25">
      <c r="B5" s="7" t="s">
        <v>97</v>
      </c>
      <c r="C5" t="b">
        <f>QC_Check!B2</f>
        <v>0</v>
      </c>
    </row>
    <row r="6" spans="1:3" x14ac:dyDescent="0.25">
      <c r="B6" s="7" t="s">
        <v>98</v>
      </c>
      <c r="C6" t="b">
        <f>QC_Check!B3</f>
        <v>0</v>
      </c>
    </row>
    <row r="7" spans="1:3" x14ac:dyDescent="0.25">
      <c r="B7" s="7" t="s">
        <v>99</v>
      </c>
      <c r="C7" t="b">
        <f>QC_Check!B4</f>
        <v>0</v>
      </c>
    </row>
    <row r="8" spans="1:3" x14ac:dyDescent="0.25">
      <c r="B8" s="7" t="s">
        <v>100</v>
      </c>
      <c r="C8" t="b">
        <f>QC_Check!B5</f>
        <v>0</v>
      </c>
    </row>
    <row r="9" spans="1:3" x14ac:dyDescent="0.25">
      <c r="B9" s="7" t="s">
        <v>101</v>
      </c>
      <c r="C9" t="b">
        <f>QC_Check!B6</f>
        <v>0</v>
      </c>
    </row>
    <row r="11" spans="1:3" x14ac:dyDescent="0.25">
      <c r="A11" s="1" t="s">
        <v>120</v>
      </c>
    </row>
    <row r="12" spans="1:3" x14ac:dyDescent="0.25">
      <c r="B12" t="s">
        <v>122</v>
      </c>
      <c r="C12" t="b">
        <f>QC_Check!B7</f>
        <v>0</v>
      </c>
    </row>
    <row r="14" spans="1:3" x14ac:dyDescent="0.25">
      <c r="A14" s="1" t="s">
        <v>119</v>
      </c>
    </row>
    <row r="17" spans="1:2" x14ac:dyDescent="0.25">
      <c r="A17" s="1" t="s">
        <v>121</v>
      </c>
    </row>
    <row r="18" spans="1:2" x14ac:dyDescent="0.25">
      <c r="B18" t="s">
        <v>104</v>
      </c>
    </row>
    <row r="20" spans="1:2" x14ac:dyDescent="0.25">
      <c r="A20" s="12"/>
    </row>
    <row r="21" spans="1:2" x14ac:dyDescent="0.25">
      <c r="A21" s="12"/>
    </row>
    <row r="23" spans="1:2" x14ac:dyDescent="0.25">
      <c r="A23" s="24" t="s">
        <v>257</v>
      </c>
    </row>
    <row r="24" spans="1:2" x14ac:dyDescent="0.25">
      <c r="B24" t="s">
        <v>258</v>
      </c>
    </row>
    <row r="26" spans="1:2" x14ac:dyDescent="0.25">
      <c r="B26" t="s">
        <v>259</v>
      </c>
    </row>
    <row r="28" spans="1:2" x14ac:dyDescent="0.25">
      <c r="B28" t="s">
        <v>260</v>
      </c>
    </row>
  </sheetData>
  <sheetProtection sheet="1" objects="1" scenarios="1"/>
  <conditionalFormatting sqref="C5:C9">
    <cfRule type="cellIs" dxfId="3" priority="5" operator="equal">
      <formula>FALSE</formula>
    </cfRule>
    <cfRule type="containsText" dxfId="2" priority="11" operator="containsText" text="TRUE">
      <formula>NOT(ISERROR(SEARCH("TRUE",C5)))</formula>
    </cfRule>
  </conditionalFormatting>
  <conditionalFormatting sqref="C12">
    <cfRule type="cellIs" dxfId="1" priority="1" operator="equal">
      <formula>FALSE</formula>
    </cfRule>
    <cfRule type="containsText" dxfId="0" priority="2" operator="containsText" text="TRUE">
      <formula>NOT(ISERROR(SEARCH("TRUE",C12)))</formula>
    </cfRule>
  </conditionalFormatting>
  <hyperlinks>
    <hyperlink ref="B5" location="Sample_Input!A1" display="Sample_Input" xr:uid="{B272AF54-B3D5-41AB-83AD-BE37AC8A7169}"/>
    <hyperlink ref="B6" location="Chromatography_Input!A1" display="Chromatography_Input" xr:uid="{4AF59F78-92B5-4A30-8D0C-DC14521EA623}"/>
    <hyperlink ref="B7" location="'Mass Spectrometry_Input'!A1" display="Mass Spectrometry_Input" xr:uid="{DFD20BAD-3A97-43F0-82E7-93BED2676025}"/>
    <hyperlink ref="B8" location="'QC Method_Input'!A1" display="QC Method_Input" xr:uid="{7E3B0AC7-6067-4F6B-A447-1AE5B80FF0C6}"/>
    <hyperlink ref="B9" location="Peaks_Input!A1" display="Peaks_Input" xr:uid="{36F0FBE3-DC4E-425C-BBA8-DCEE39027CB9}"/>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reateJSON">
                <anchor moveWithCells="1" sizeWithCells="1">
                  <from>
                    <xdr:col>1</xdr:col>
                    <xdr:colOff>1847850</xdr:colOff>
                    <xdr:row>13</xdr:row>
                    <xdr:rowOff>9525</xdr:rowOff>
                  </from>
                  <to>
                    <xdr:col>4</xdr:col>
                    <xdr:colOff>514350</xdr:colOff>
                    <xdr:row>15</xdr:row>
                    <xdr:rowOff>0</xdr:rowOff>
                  </to>
                </anchor>
              </controlPr>
            </control>
          </mc:Choice>
        </mc:AlternateContent>
        <mc:AlternateContent xmlns:mc="http://schemas.openxmlformats.org/markup-compatibility/2006">
          <mc:Choice Requires="x14">
            <control shapeId="10243" r:id="rId5" name="Button 3">
              <controlPr defaultSize="0" print="0" autoFill="0" autoPict="0" macro="[0]!createAnnotations">
                <anchor moveWithCells="1" sizeWithCells="1">
                  <from>
                    <xdr:col>7</xdr:col>
                    <xdr:colOff>276225</xdr:colOff>
                    <xdr:row>10</xdr:row>
                    <xdr:rowOff>9525</xdr:rowOff>
                  </from>
                  <to>
                    <xdr:col>11</xdr:col>
                    <xdr:colOff>9525</xdr:colOff>
                    <xdr:row>11</xdr:row>
                    <xdr:rowOff>180975</xdr:rowOff>
                  </to>
                </anchor>
              </controlPr>
            </control>
          </mc:Choice>
        </mc:AlternateContent>
        <mc:AlternateContent xmlns:mc="http://schemas.openxmlformats.org/markup-compatibility/2006">
          <mc:Choice Requires="x14">
            <control shapeId="10244" r:id="rId6" name="Button 4">
              <controlPr defaultSize="0" print="0" autoFill="0" autoPict="0" macro="[0]!importJSON">
                <anchor moveWithCells="1" sizeWithCells="1">
                  <from>
                    <xdr:col>2</xdr:col>
                    <xdr:colOff>19050</xdr:colOff>
                    <xdr:row>25</xdr:row>
                    <xdr:rowOff>19050</xdr:rowOff>
                  </from>
                  <to>
                    <xdr:col>3</xdr:col>
                    <xdr:colOff>400050</xdr:colOff>
                    <xdr:row>26</xdr:row>
                    <xdr:rowOff>85725</xdr:rowOff>
                  </to>
                </anchor>
              </controlPr>
            </control>
          </mc:Choice>
        </mc:AlternateContent>
        <mc:AlternateContent xmlns:mc="http://schemas.openxmlformats.org/markup-compatibility/2006">
          <mc:Choice Requires="x14">
            <control shapeId="10245" r:id="rId7" name="Button 5">
              <controlPr defaultSize="0" print="0" autoFill="0" autoPict="0" macro="[0]!restartSheet">
                <anchor moveWithCells="1" sizeWithCells="1">
                  <from>
                    <xdr:col>2</xdr:col>
                    <xdr:colOff>19050</xdr:colOff>
                    <xdr:row>27</xdr:row>
                    <xdr:rowOff>19050</xdr:rowOff>
                  </from>
                  <to>
                    <xdr:col>3</xdr:col>
                    <xdr:colOff>390525</xdr:colOff>
                    <xdr:row>28</xdr:row>
                    <xdr:rowOff>104775</xdr:rowOff>
                  </to>
                </anchor>
              </controlPr>
            </control>
          </mc:Choice>
        </mc:AlternateContent>
        <mc:AlternateContent xmlns:mc="http://schemas.openxmlformats.org/markup-compatibility/2006">
          <mc:Choice Requires="x14">
            <control shapeId="10246" r:id="rId8" name="Button 6">
              <controlPr defaultSize="0" print="0" autoFill="0" autoPict="0" macro="[0]!exportMethod">
                <anchor moveWithCells="1" sizeWithCells="1">
                  <from>
                    <xdr:col>1</xdr:col>
                    <xdr:colOff>2000250</xdr:colOff>
                    <xdr:row>22</xdr:row>
                    <xdr:rowOff>180975</xdr:rowOff>
                  </from>
                  <to>
                    <xdr:col>3</xdr:col>
                    <xdr:colOff>390525</xdr:colOff>
                    <xdr:row>24</xdr:row>
                    <xdr:rowOff>85725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BFA6B-F176-4940-836A-57EB7B3FF2E3}">
  <sheetPr codeName="Sheet8"/>
  <dimension ref="A1:AG17"/>
  <sheetViews>
    <sheetView workbookViewId="0">
      <selection activeCell="AC12" sqref="AC12"/>
    </sheetView>
  </sheetViews>
  <sheetFormatPr defaultRowHeight="15" x14ac:dyDescent="0.25"/>
  <cols>
    <col min="1" max="1" width="32.140625" bestFit="1" customWidth="1"/>
    <col min="2" max="2" width="22.140625" bestFit="1" customWidth="1"/>
    <col min="3" max="3" width="21.28515625" bestFit="1" customWidth="1"/>
    <col min="4" max="10" width="21.28515625" customWidth="1"/>
    <col min="11" max="11" width="18.7109375" bestFit="1" customWidth="1"/>
    <col min="12" max="12" width="19.85546875" bestFit="1" customWidth="1"/>
    <col min="13" max="13" width="29.28515625" bestFit="1" customWidth="1"/>
    <col min="14" max="14" width="29.28515625" customWidth="1"/>
    <col min="15" max="15" width="29.28515625" bestFit="1" customWidth="1"/>
    <col min="16" max="16" width="29.28515625" customWidth="1"/>
    <col min="17" max="17" width="24.42578125" bestFit="1" customWidth="1"/>
    <col min="18" max="18" width="36.85546875" bestFit="1" customWidth="1"/>
    <col min="20" max="20" width="29" bestFit="1" customWidth="1"/>
    <col min="21" max="21" width="14.42578125" bestFit="1" customWidth="1"/>
    <col min="22" max="22" width="14.42578125" customWidth="1"/>
    <col min="23" max="23" width="22.85546875" bestFit="1" customWidth="1"/>
    <col min="24" max="24" width="33" bestFit="1" customWidth="1"/>
    <col min="25" max="25" width="33.28515625" bestFit="1" customWidth="1"/>
    <col min="26" max="26" width="15.5703125" bestFit="1" customWidth="1"/>
    <col min="27" max="31" width="15.5703125" customWidth="1"/>
    <col min="32" max="32" width="11.85546875" bestFit="1" customWidth="1"/>
  </cols>
  <sheetData>
    <row r="1" spans="1:33" x14ac:dyDescent="0.25">
      <c r="A1" t="s">
        <v>57</v>
      </c>
      <c r="B1" t="s">
        <v>5</v>
      </c>
      <c r="C1" t="s">
        <v>27</v>
      </c>
      <c r="D1" t="s">
        <v>123</v>
      </c>
      <c r="E1" t="s">
        <v>1</v>
      </c>
      <c r="F1" t="s">
        <v>2</v>
      </c>
      <c r="G1" t="s">
        <v>8</v>
      </c>
      <c r="H1" t="s">
        <v>9</v>
      </c>
      <c r="I1" t="s">
        <v>10</v>
      </c>
      <c r="J1" t="s">
        <v>11</v>
      </c>
      <c r="K1" t="s">
        <v>12</v>
      </c>
      <c r="L1" t="s">
        <v>13</v>
      </c>
      <c r="M1" t="s">
        <v>169</v>
      </c>
      <c r="N1" t="s">
        <v>170</v>
      </c>
      <c r="O1" t="s">
        <v>137</v>
      </c>
      <c r="P1" t="s">
        <v>140</v>
      </c>
      <c r="Q1" t="s">
        <v>31</v>
      </c>
      <c r="R1" t="s">
        <v>32</v>
      </c>
      <c r="S1" t="s">
        <v>33</v>
      </c>
      <c r="T1" t="s">
        <v>36</v>
      </c>
      <c r="U1" t="s">
        <v>39</v>
      </c>
      <c r="V1" t="s">
        <v>42</v>
      </c>
      <c r="W1" t="s">
        <v>176</v>
      </c>
      <c r="X1" t="s">
        <v>178</v>
      </c>
      <c r="Y1" t="s">
        <v>179</v>
      </c>
      <c r="Z1" t="s">
        <v>58</v>
      </c>
      <c r="AA1" t="s">
        <v>105</v>
      </c>
      <c r="AB1" t="s">
        <v>47</v>
      </c>
      <c r="AC1" t="s">
        <v>48</v>
      </c>
      <c r="AD1" t="s">
        <v>49</v>
      </c>
      <c r="AE1" t="s">
        <v>50</v>
      </c>
      <c r="AF1" t="s">
        <v>183</v>
      </c>
      <c r="AG1" t="s">
        <v>261</v>
      </c>
    </row>
    <row r="2" spans="1:33" ht="18.75" customHeight="1" x14ac:dyDescent="0.25">
      <c r="A2" t="s">
        <v>195</v>
      </c>
      <c r="B2" t="s">
        <v>196</v>
      </c>
      <c r="C2" t="s">
        <v>197</v>
      </c>
      <c r="D2" t="s">
        <v>198</v>
      </c>
      <c r="E2" t="s">
        <v>199</v>
      </c>
      <c r="F2" t="s">
        <v>200</v>
      </c>
      <c r="G2" t="s">
        <v>201</v>
      </c>
      <c r="H2" t="s">
        <v>202</v>
      </c>
      <c r="I2" t="s">
        <v>203</v>
      </c>
      <c r="J2" t="s">
        <v>204</v>
      </c>
      <c r="K2" t="s">
        <v>205</v>
      </c>
      <c r="L2" t="s">
        <v>206</v>
      </c>
      <c r="M2" t="s">
        <v>207</v>
      </c>
      <c r="N2" t="s">
        <v>208</v>
      </c>
      <c r="O2" t="s">
        <v>209</v>
      </c>
      <c r="P2" t="s">
        <v>210</v>
      </c>
      <c r="Q2" t="s">
        <v>211</v>
      </c>
      <c r="R2" t="s">
        <v>212</v>
      </c>
      <c r="S2" t="s">
        <v>213</v>
      </c>
      <c r="T2" t="s">
        <v>214</v>
      </c>
      <c r="U2" t="s">
        <v>215</v>
      </c>
      <c r="V2" t="s">
        <v>216</v>
      </c>
      <c r="W2" t="s">
        <v>217</v>
      </c>
      <c r="X2" t="s">
        <v>218</v>
      </c>
      <c r="Y2" t="s">
        <v>219</v>
      </c>
      <c r="Z2" s="11" t="s">
        <v>226</v>
      </c>
      <c r="AA2" s="11" t="s">
        <v>221</v>
      </c>
      <c r="AB2" s="11" t="s">
        <v>222</v>
      </c>
      <c r="AC2" s="11" t="s">
        <v>223</v>
      </c>
      <c r="AD2" s="11" t="s">
        <v>224</v>
      </c>
      <c r="AE2" s="11" t="s">
        <v>225</v>
      </c>
      <c r="AF2" t="s">
        <v>220</v>
      </c>
      <c r="AG2" s="11" t="s">
        <v>275</v>
      </c>
    </row>
    <row r="3" spans="1:33" x14ac:dyDescent="0.25">
      <c r="A3" t="s">
        <v>67</v>
      </c>
      <c r="B3" t="s">
        <v>78</v>
      </c>
      <c r="C3" t="s">
        <v>28</v>
      </c>
      <c r="D3" t="s">
        <v>14</v>
      </c>
      <c r="E3" t="s">
        <v>14</v>
      </c>
      <c r="F3" t="s">
        <v>14</v>
      </c>
      <c r="G3" t="s">
        <v>14</v>
      </c>
      <c r="H3" t="s">
        <v>14</v>
      </c>
      <c r="I3" t="s">
        <v>14</v>
      </c>
      <c r="J3" t="s">
        <v>14</v>
      </c>
      <c r="K3" t="s">
        <v>14</v>
      </c>
      <c r="L3" t="s">
        <v>14</v>
      </c>
      <c r="M3" t="s">
        <v>28</v>
      </c>
      <c r="N3" t="s">
        <v>14</v>
      </c>
      <c r="O3" t="s">
        <v>14</v>
      </c>
      <c r="P3" t="s">
        <v>14</v>
      </c>
      <c r="Q3" t="s">
        <v>28</v>
      </c>
      <c r="R3" t="s">
        <v>243</v>
      </c>
      <c r="S3" t="s">
        <v>34</v>
      </c>
      <c r="T3" t="s">
        <v>37</v>
      </c>
      <c r="U3" t="s">
        <v>14</v>
      </c>
      <c r="V3" t="s">
        <v>14</v>
      </c>
      <c r="W3" t="s">
        <v>177</v>
      </c>
      <c r="X3" t="s">
        <v>117</v>
      </c>
      <c r="Y3" t="s">
        <v>116</v>
      </c>
      <c r="Z3" t="s">
        <v>14</v>
      </c>
      <c r="AA3" t="b">
        <v>1</v>
      </c>
      <c r="AB3" t="b">
        <v>1</v>
      </c>
      <c r="AC3" t="b">
        <v>1</v>
      </c>
      <c r="AD3" t="b">
        <v>1</v>
      </c>
      <c r="AE3" t="b">
        <v>1</v>
      </c>
      <c r="AF3" t="s">
        <v>185</v>
      </c>
      <c r="AG3" t="s">
        <v>265</v>
      </c>
    </row>
    <row r="4" spans="1:33" x14ac:dyDescent="0.25">
      <c r="A4" t="s">
        <v>72</v>
      </c>
      <c r="B4" t="s">
        <v>77</v>
      </c>
      <c r="C4" t="s">
        <v>83</v>
      </c>
      <c r="D4" t="s">
        <v>85</v>
      </c>
      <c r="E4" t="s">
        <v>85</v>
      </c>
      <c r="F4" t="s">
        <v>93</v>
      </c>
      <c r="G4" t="s">
        <v>85</v>
      </c>
      <c r="H4" t="s">
        <v>93</v>
      </c>
      <c r="I4" t="s">
        <v>85</v>
      </c>
      <c r="J4" t="s">
        <v>93</v>
      </c>
      <c r="K4" t="s">
        <v>85</v>
      </c>
      <c r="L4" t="s">
        <v>93</v>
      </c>
      <c r="M4" t="s">
        <v>95</v>
      </c>
      <c r="N4" t="s">
        <v>147</v>
      </c>
      <c r="O4" t="s">
        <v>28</v>
      </c>
      <c r="P4" t="s">
        <v>147</v>
      </c>
      <c r="Q4" t="s">
        <v>83</v>
      </c>
      <c r="R4" t="s">
        <v>244</v>
      </c>
      <c r="S4" t="s">
        <v>106</v>
      </c>
      <c r="T4" t="s">
        <v>109</v>
      </c>
      <c r="U4" t="s">
        <v>113</v>
      </c>
      <c r="V4" t="s">
        <v>113</v>
      </c>
      <c r="W4" t="s">
        <v>45</v>
      </c>
      <c r="X4" t="s">
        <v>118</v>
      </c>
      <c r="Y4" t="s">
        <v>37</v>
      </c>
      <c r="Z4" t="s">
        <v>247</v>
      </c>
      <c r="AA4" t="b">
        <v>0</v>
      </c>
      <c r="AB4" t="b">
        <v>0</v>
      </c>
      <c r="AC4" t="b">
        <v>0</v>
      </c>
      <c r="AD4" t="b">
        <v>0</v>
      </c>
      <c r="AE4" t="b">
        <v>0</v>
      </c>
      <c r="AF4" t="s">
        <v>184</v>
      </c>
      <c r="AG4" t="s">
        <v>263</v>
      </c>
    </row>
    <row r="5" spans="1:33" x14ac:dyDescent="0.25">
      <c r="A5" t="s">
        <v>73</v>
      </c>
      <c r="B5" t="s">
        <v>76</v>
      </c>
      <c r="C5" t="s">
        <v>84</v>
      </c>
      <c r="D5" t="s">
        <v>155</v>
      </c>
      <c r="E5" t="s">
        <v>155</v>
      </c>
      <c r="F5" t="s">
        <v>86</v>
      </c>
      <c r="G5" t="s">
        <v>155</v>
      </c>
      <c r="H5" t="s">
        <v>86</v>
      </c>
      <c r="I5" t="s">
        <v>155</v>
      </c>
      <c r="J5" t="s">
        <v>86</v>
      </c>
      <c r="K5" t="s">
        <v>155</v>
      </c>
      <c r="L5" t="s">
        <v>86</v>
      </c>
      <c r="M5" t="s">
        <v>143</v>
      </c>
      <c r="N5" t="s">
        <v>151</v>
      </c>
      <c r="O5" t="s">
        <v>95</v>
      </c>
      <c r="P5" t="s">
        <v>151</v>
      </c>
      <c r="Q5" t="s">
        <v>82</v>
      </c>
      <c r="R5" t="s">
        <v>246</v>
      </c>
      <c r="T5" t="s">
        <v>110</v>
      </c>
      <c r="U5" t="s">
        <v>43</v>
      </c>
      <c r="V5" t="s">
        <v>43</v>
      </c>
      <c r="W5" t="s">
        <v>114</v>
      </c>
      <c r="Z5" t="s">
        <v>248</v>
      </c>
      <c r="AF5" t="s">
        <v>187</v>
      </c>
      <c r="AG5" t="s">
        <v>264</v>
      </c>
    </row>
    <row r="6" spans="1:33" x14ac:dyDescent="0.25">
      <c r="A6" t="s">
        <v>70</v>
      </c>
      <c r="B6" t="s">
        <v>79</v>
      </c>
      <c r="C6" t="s">
        <v>82</v>
      </c>
      <c r="D6" t="s">
        <v>156</v>
      </c>
      <c r="E6" t="s">
        <v>156</v>
      </c>
      <c r="F6" t="s">
        <v>88</v>
      </c>
      <c r="G6" t="s">
        <v>156</v>
      </c>
      <c r="H6" t="s">
        <v>88</v>
      </c>
      <c r="I6" t="s">
        <v>156</v>
      </c>
      <c r="J6" t="s">
        <v>88</v>
      </c>
      <c r="K6" t="s">
        <v>156</v>
      </c>
      <c r="L6" t="s">
        <v>88</v>
      </c>
      <c r="M6" t="s">
        <v>144</v>
      </c>
      <c r="N6" t="s">
        <v>153</v>
      </c>
      <c r="O6" t="s">
        <v>143</v>
      </c>
      <c r="P6" t="s">
        <v>153</v>
      </c>
      <c r="Q6" t="s">
        <v>81</v>
      </c>
      <c r="R6" t="s">
        <v>245</v>
      </c>
      <c r="T6" t="s">
        <v>107</v>
      </c>
      <c r="U6" t="s">
        <v>40</v>
      </c>
      <c r="V6" t="s">
        <v>40</v>
      </c>
      <c r="W6" t="s">
        <v>252</v>
      </c>
      <c r="Z6" t="s">
        <v>115</v>
      </c>
      <c r="AF6" t="s">
        <v>186</v>
      </c>
      <c r="AG6" t="s">
        <v>266</v>
      </c>
    </row>
    <row r="7" spans="1:33" x14ac:dyDescent="0.25">
      <c r="A7" t="s">
        <v>160</v>
      </c>
      <c r="C7" t="s">
        <v>81</v>
      </c>
      <c r="D7" t="s">
        <v>168</v>
      </c>
      <c r="E7" t="s">
        <v>168</v>
      </c>
      <c r="F7" t="s">
        <v>90</v>
      </c>
      <c r="G7" t="s">
        <v>168</v>
      </c>
      <c r="H7" t="s">
        <v>90</v>
      </c>
      <c r="I7" t="s">
        <v>168</v>
      </c>
      <c r="J7" t="s">
        <v>90</v>
      </c>
      <c r="K7" t="s">
        <v>168</v>
      </c>
      <c r="L7" t="s">
        <v>90</v>
      </c>
      <c r="M7" t="s">
        <v>81</v>
      </c>
      <c r="N7" t="s">
        <v>148</v>
      </c>
      <c r="O7" t="s">
        <v>144</v>
      </c>
      <c r="P7" t="s">
        <v>148</v>
      </c>
      <c r="Q7" t="s">
        <v>7</v>
      </c>
      <c r="R7" t="s">
        <v>242</v>
      </c>
      <c r="T7" t="s">
        <v>108</v>
      </c>
      <c r="U7" t="s">
        <v>112</v>
      </c>
      <c r="V7" t="s">
        <v>112</v>
      </c>
      <c r="AF7" t="s">
        <v>188</v>
      </c>
      <c r="AG7" t="s">
        <v>267</v>
      </c>
    </row>
    <row r="8" spans="1:33" x14ac:dyDescent="0.25">
      <c r="A8" t="s">
        <v>71</v>
      </c>
      <c r="C8" t="s">
        <v>7</v>
      </c>
      <c r="D8" t="s">
        <v>89</v>
      </c>
      <c r="E8" t="s">
        <v>89</v>
      </c>
      <c r="F8" t="s">
        <v>92</v>
      </c>
      <c r="G8" t="s">
        <v>89</v>
      </c>
      <c r="H8" t="s">
        <v>92</v>
      </c>
      <c r="I8" t="s">
        <v>89</v>
      </c>
      <c r="J8" t="s">
        <v>92</v>
      </c>
      <c r="K8" t="s">
        <v>89</v>
      </c>
      <c r="L8" t="s">
        <v>92</v>
      </c>
      <c r="M8" t="s">
        <v>7</v>
      </c>
      <c r="N8" t="s">
        <v>149</v>
      </c>
      <c r="O8" t="s">
        <v>81</v>
      </c>
      <c r="P8" t="s">
        <v>149</v>
      </c>
      <c r="Q8" t="s">
        <v>80</v>
      </c>
      <c r="U8" t="s">
        <v>111</v>
      </c>
      <c r="V8" t="s">
        <v>111</v>
      </c>
      <c r="AF8" t="s">
        <v>189</v>
      </c>
      <c r="AG8" t="s">
        <v>268</v>
      </c>
    </row>
    <row r="9" spans="1:33" x14ac:dyDescent="0.25">
      <c r="A9" t="s">
        <v>159</v>
      </c>
      <c r="C9" t="s">
        <v>80</v>
      </c>
      <c r="D9" t="s">
        <v>87</v>
      </c>
      <c r="E9" t="s">
        <v>87</v>
      </c>
      <c r="F9" t="s">
        <v>94</v>
      </c>
      <c r="G9" t="s">
        <v>87</v>
      </c>
      <c r="H9" t="s">
        <v>94</v>
      </c>
      <c r="I9" t="s">
        <v>87</v>
      </c>
      <c r="J9" t="s">
        <v>94</v>
      </c>
      <c r="K9" t="s">
        <v>87</v>
      </c>
      <c r="L9" t="s">
        <v>94</v>
      </c>
      <c r="M9" t="s">
        <v>80</v>
      </c>
      <c r="N9" t="s">
        <v>152</v>
      </c>
      <c r="O9" t="s">
        <v>7</v>
      </c>
      <c r="P9" t="s">
        <v>152</v>
      </c>
      <c r="U9" t="s">
        <v>182</v>
      </c>
      <c r="V9" t="s">
        <v>182</v>
      </c>
      <c r="AF9" t="s">
        <v>190</v>
      </c>
      <c r="AG9" t="s">
        <v>269</v>
      </c>
    </row>
    <row r="10" spans="1:33" x14ac:dyDescent="0.25">
      <c r="A10" t="s">
        <v>157</v>
      </c>
      <c r="D10" t="s">
        <v>154</v>
      </c>
      <c r="E10" t="s">
        <v>154</v>
      </c>
      <c r="G10" t="s">
        <v>154</v>
      </c>
      <c r="I10" t="s">
        <v>154</v>
      </c>
      <c r="K10" t="s">
        <v>154</v>
      </c>
      <c r="M10" t="s">
        <v>145</v>
      </c>
      <c r="N10" t="s">
        <v>146</v>
      </c>
      <c r="O10" t="s">
        <v>80</v>
      </c>
      <c r="P10" t="s">
        <v>146</v>
      </c>
      <c r="AF10" t="s">
        <v>193</v>
      </c>
      <c r="AG10" t="s">
        <v>274</v>
      </c>
    </row>
    <row r="11" spans="1:33" x14ac:dyDescent="0.25">
      <c r="A11" t="s">
        <v>74</v>
      </c>
      <c r="D11" t="s">
        <v>91</v>
      </c>
      <c r="E11" t="s">
        <v>91</v>
      </c>
      <c r="G11" t="s">
        <v>91</v>
      </c>
      <c r="I11" t="s">
        <v>91</v>
      </c>
      <c r="K11" t="s">
        <v>91</v>
      </c>
      <c r="N11" t="s">
        <v>150</v>
      </c>
      <c r="O11" t="s">
        <v>145</v>
      </c>
      <c r="P11" t="s">
        <v>150</v>
      </c>
      <c r="AF11" t="s">
        <v>191</v>
      </c>
      <c r="AG11" t="s">
        <v>273</v>
      </c>
    </row>
    <row r="12" spans="1:33" x14ac:dyDescent="0.25">
      <c r="A12" t="s">
        <v>69</v>
      </c>
      <c r="AF12" t="s">
        <v>192</v>
      </c>
      <c r="AG12" t="s">
        <v>262</v>
      </c>
    </row>
    <row r="13" spans="1:33" x14ac:dyDescent="0.25">
      <c r="A13" t="s">
        <v>158</v>
      </c>
      <c r="AG13" t="s">
        <v>270</v>
      </c>
    </row>
    <row r="14" spans="1:33" x14ac:dyDescent="0.25">
      <c r="A14" t="s">
        <v>194</v>
      </c>
      <c r="AG14" t="s">
        <v>271</v>
      </c>
    </row>
    <row r="15" spans="1:33" x14ac:dyDescent="0.25">
      <c r="A15" t="s">
        <v>75</v>
      </c>
      <c r="AG15" t="s">
        <v>79</v>
      </c>
    </row>
    <row r="16" spans="1:33" x14ac:dyDescent="0.25">
      <c r="A16" t="s">
        <v>68</v>
      </c>
    </row>
    <row r="17" spans="1:1" x14ac:dyDescent="0.25">
      <c r="A17" t="s">
        <v>161</v>
      </c>
    </row>
  </sheetData>
  <sortState xmlns:xlrd2="http://schemas.microsoft.com/office/spreadsheetml/2017/richdata2" ref="Q3:Q8">
    <sortCondition ref="Q3:Q8"/>
  </sortState>
  <dataValidations count="28">
    <dataValidation allowBlank="1" showErrorMessage="1" promptTitle="Type of Chromatography" sqref="B1:B2" xr:uid="{DEC28128-790C-4C4D-AFCB-85B0B6752EC0}"/>
    <dataValidation allowBlank="1" showErrorMessage="1" promptTitle="Chromatograph Vendor" sqref="C1:C2 D2" xr:uid="{621B644B-E34E-4E45-A46B-001919F9F225}"/>
    <dataValidation allowBlank="1" showErrorMessage="1" promptTitle="Mobile Phase 4 Additive" sqref="L1:L2" xr:uid="{B26DD7B7-43EF-4701-986C-BEB350838C62}"/>
    <dataValidation allowBlank="1" showErrorMessage="1" promptTitle="Mobile Phase 3 Additive" sqref="J1:J2" xr:uid="{3340EBCC-A570-48E2-AEE3-E7C9A31BC440}"/>
    <dataValidation allowBlank="1" showErrorMessage="1" promptTitle="Mobile Phase 2 Additive" sqref="H1 G2" xr:uid="{9F4AAF6B-6BE8-40A5-8301-EBC3B7AFA482}"/>
    <dataValidation allowBlank="1" showErrorMessage="1" promptTitle="Mobile Phase 1 Additive" sqref="F1 E2" xr:uid="{4D04A96E-1263-4B9F-92BD-985FB7F67E4B}"/>
    <dataValidation allowBlank="1" showErrorMessage="1" promptTitle="Mobile Phase 4 Solvent" sqref="K1:K2" xr:uid="{C8A3DFEE-E0C7-4734-8152-863670986A24}"/>
    <dataValidation allowBlank="1" showErrorMessage="1" promptTitle="Mobile Phase 3 Solvent" sqref="I1:I2 H2" xr:uid="{6EDD9888-2B53-4656-B0BF-7B1E69DE88E8}"/>
    <dataValidation allowBlank="1" showErrorMessage="1" promptTitle="Mobile Phase 2 Solvent" sqref="G1 F2" xr:uid="{5BFD28B9-A0E4-4976-8E3F-6C4BF3095C1C}"/>
    <dataValidation allowBlank="1" showErrorMessage="1" sqref="E1" xr:uid="{91700420-A091-4547-94CA-521E03BB5643}"/>
    <dataValidation allowBlank="1" showErrorMessage="1" promptTitle="Chromatography Column Vendor" sqref="M1:M2" xr:uid="{0E418FDB-8D75-415D-AD6E-A266461EFC40}"/>
    <dataValidation allowBlank="1" showErrorMessage="1" promptTitle="Column phase" sqref="N1:N2" xr:uid="{291C6696-0A40-4E9B-8C1F-CC771DD6A751}"/>
    <dataValidation allowBlank="1" showErrorMessage="1" promptTitle="Vendor of Mass Spectrometer" sqref="Q1:Q2 P2" xr:uid="{37B689E9-0609-432F-B0AA-9F2F324951B8}"/>
    <dataValidation allowBlank="1" showErrorMessage="1" promptTitle="Ionization Mode" sqref="R1:R2" xr:uid="{087F13AC-418C-4A2A-BFF7-B4AD35407EE2}"/>
    <dataValidation allowBlank="1" showErrorMessage="1" promptTitle="Ionization Polarity" sqref="S1:S2" xr:uid="{C2A9D047-90EF-4415-9E6F-6730C97C6912}"/>
    <dataValidation allowBlank="1" showInputMessage="1" showErrorMessage="1" promptTitle="Units of ionization voltage/curr" sqref="T1:T2" xr:uid="{DC126BE1-DC47-4E65-8272-16CB44918943}"/>
    <dataValidation allowBlank="1" showInputMessage="1" showErrorMessage="1" promptTitle="First mass analyzer" sqref="U1:U2" xr:uid="{4B38205A-A2A5-47E3-8767-38EE927152E0}"/>
    <dataValidation allowBlank="1" showInputMessage="1" showErrorMessage="1" promptTitle="Last Mass Analyzer" sqref="V1:V2" xr:uid="{CFA56398-145B-4337-A722-AF129C5A52A3}"/>
    <dataValidation allowBlank="1" showInputMessage="1" showErrorMessage="1" promptTitle="Collision Cell Type" sqref="W1:W2" xr:uid="{7D883D42-9389-43E6-9C1D-9C01A255995D}"/>
    <dataValidation allowBlank="1" showInputMessage="1" showErrorMessage="1" promptTitle="Type of Fragmentation/Collision " sqref="X1:X2" xr:uid="{8F71A42F-9366-4E52-859E-C17EA50BA92E}"/>
    <dataValidation allowBlank="1" showErrorMessage="1" promptTitle="F/CE Units" sqref="Y1:Y2" xr:uid="{FE7202D5-FE40-4C38-9247-6A9F995F595D}"/>
    <dataValidation allowBlank="1" showErrorMessage="1" promptTitle="MS2 Experiment Type" sqref="Z1:Z2 AA2:AE2" xr:uid="{8639F707-8106-44F3-B4E2-51DCD41EC696}"/>
    <dataValidation allowBlank="1" showErrorMessage="1" promptTitle="Sample Solvent" sqref="D1" xr:uid="{61C532CA-B93C-41F1-A8B5-A50938843704}"/>
    <dataValidation allowBlank="1" showErrorMessage="1" promptTitle="Matrix Standard Verication" sqref="AE1" xr:uid="{5B97686F-FDC5-482A-8054-463C267D630A}"/>
    <dataValidation allowBlank="1" showErrorMessage="1" promptTitle="Internal Standard Verification" sqref="AD1" xr:uid="{42F76F4D-4A58-448F-AD4C-C810D77C36CA}"/>
    <dataValidation allowBlank="1" showErrorMessage="1" promptTitle="External Standard Verification" sqref="AC1" xr:uid="{7A6CC6C6-20E8-41AF-8940-59D6CE0B8F56}"/>
    <dataValidation allowBlank="1" showErrorMessage="1" promptTitle="Mass Analyzer Calibration" sqref="AB1" xr:uid="{ACFD7B5D-D14E-412F-A277-D53E669DAEAA}"/>
    <dataValidation allowBlank="1" showErrorMessage="1" promptTitle="Was a QA/QC Method Used" sqref="AA1" xr:uid="{7C73BFB9-ADC3-4C20-9488-3ED3CE223A1F}"/>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071C1-9014-406E-B23D-2FA31838F5A7}">
  <sheetPr codeName="Sheet2"/>
  <dimension ref="A1"/>
  <sheetViews>
    <sheetView topLeftCell="A187" workbookViewId="0">
      <selection activeCell="I207" sqref="I207"/>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FAB7E-3CEB-4C00-A929-29550EA60327}">
  <sheetPr codeName="Sheet4"/>
  <dimension ref="A1:F8"/>
  <sheetViews>
    <sheetView workbookViewId="0">
      <selection activeCell="B4" sqref="B4"/>
    </sheetView>
  </sheetViews>
  <sheetFormatPr defaultRowHeight="15" x14ac:dyDescent="0.25"/>
  <cols>
    <col min="1" max="1" width="25.5703125" bestFit="1" customWidth="1"/>
    <col min="2" max="2" width="32.140625" style="3" bestFit="1" customWidth="1"/>
    <col min="3" max="3" width="23.85546875" style="3" customWidth="1"/>
    <col min="4" max="4" width="12.28515625" customWidth="1"/>
    <col min="6" max="6" width="21.42578125" bestFit="1" customWidth="1"/>
  </cols>
  <sheetData>
    <row r="1" spans="1:6" ht="18.75" x14ac:dyDescent="0.3">
      <c r="A1" s="2" t="s">
        <v>53</v>
      </c>
    </row>
    <row r="2" spans="1:6" x14ac:dyDescent="0.25">
      <c r="A2" s="1" t="s">
        <v>6</v>
      </c>
    </row>
    <row r="3" spans="1:6" x14ac:dyDescent="0.25">
      <c r="A3" s="1" t="s">
        <v>4</v>
      </c>
      <c r="B3" s="4" t="s">
        <v>3</v>
      </c>
      <c r="C3" s="4"/>
      <c r="D3" s="1" t="s">
        <v>227</v>
      </c>
    </row>
    <row r="4" spans="1:6" x14ac:dyDescent="0.25">
      <c r="A4" t="s">
        <v>54</v>
      </c>
      <c r="B4" s="13"/>
      <c r="D4" t="s">
        <v>62</v>
      </c>
      <c r="F4" s="16" t="s">
        <v>254</v>
      </c>
    </row>
    <row r="5" spans="1:6" x14ac:dyDescent="0.25">
      <c r="A5" t="s">
        <v>55</v>
      </c>
      <c r="B5" s="13"/>
      <c r="D5" t="s">
        <v>56</v>
      </c>
    </row>
    <row r="6" spans="1:6" x14ac:dyDescent="0.25">
      <c r="A6" t="s">
        <v>57</v>
      </c>
      <c r="B6" s="13"/>
      <c r="D6" t="s">
        <v>230</v>
      </c>
    </row>
    <row r="7" spans="1:6" x14ac:dyDescent="0.25">
      <c r="A7" t="s">
        <v>249</v>
      </c>
      <c r="B7" s="15"/>
      <c r="D7" t="s">
        <v>231</v>
      </c>
    </row>
    <row r="8" spans="1:6" x14ac:dyDescent="0.25">
      <c r="A8" t="s">
        <v>250</v>
      </c>
      <c r="B8" s="18"/>
      <c r="D8" t="s">
        <v>232</v>
      </c>
    </row>
  </sheetData>
  <sheetProtection sheet="1" objects="1" scenarios="1"/>
  <protectedRanges>
    <protectedRange sqref="B4:B8" name="sample"/>
  </protectedRanges>
  <dataValidations count="8">
    <dataValidation allowBlank="1" showErrorMessage="1" promptTitle="File Name" sqref="A4" xr:uid="{7FE3EC26-9BEF-4BBC-833C-40DEAC74FB51}"/>
    <dataValidation allowBlank="1" showErrorMessage="1" promptTitle="Sample Name" sqref="A5" xr:uid="{74469155-4594-4BF5-8EBE-E6C6F5312D62}"/>
    <dataValidation allowBlank="1" showErrorMessage="1" promptTitle="Sample Class" sqref="A6" xr:uid="{A73E1FB3-60AE-4683-9AB2-5439F7163848}"/>
    <dataValidation allowBlank="1" showErrorMessage="1" promptTitle="Submitter Name" sqref="A7" xr:uid="{92410B33-5412-4525-9CF5-46B1838E2B37}"/>
    <dataValidation allowBlank="1" showInputMessage="1" showErrorMessage="1" promptTitle="File Name" prompt="The full name of the raw data file related to the submitted data. Names should match exactly and do not include the directory/folders names." sqref="B4" xr:uid="{2CDFC41C-F2B4-4B24-AEE5-EB0D2E125371}"/>
    <dataValidation allowBlank="1" showInputMessage="1" showErrorMessage="1" promptTitle="Sample name" prompt="User description of the sample, no restrictions on input." sqref="B5" xr:uid="{DCDB5A9B-E609-4C7D-A79F-8CB1EE5CC66F}"/>
    <dataValidation allowBlank="1" showInputMessage="1" showErrorMessage="1" promptTitle="Submitter Email" prompt="Email address for the user submitting the data." sqref="B7" xr:uid="{BE995708-63E4-4A7C-82C6-00E39CF7A4D8}"/>
    <dataValidation allowBlank="1" showInputMessage="1" showErrorMessage="1" promptTitle="Sample Source" prompt="If information related to the sample collection/description used has been published in peer reviewed literature, include the DOI for the publication. If not, leave blank." sqref="B8" xr:uid="{BE5EE430-89DD-419B-AC15-3D128DC6448C}"/>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sample_validate_next">
                <anchor moveWithCells="1" sizeWithCells="1">
                  <from>
                    <xdr:col>5</xdr:col>
                    <xdr:colOff>0</xdr:colOff>
                    <xdr:row>6</xdr:row>
                    <xdr:rowOff>9525</xdr:rowOff>
                  </from>
                  <to>
                    <xdr:col>6</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promptTitle="Sample Class" prompt="Type of sample analyzed. Input is restricted." xr:uid="{D87D5224-77F5-43B7-9173-2AA2611BC030}">
          <x14:formula1>
            <xm:f>Input_Validation!$A$3:$A$17</xm:f>
          </x14:formula1>
          <xm:sqref>B6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3A8B1-FD66-4091-87C5-C4E896AF50C9}">
  <sheetPr codeName="Sheet1"/>
  <dimension ref="A1:F28"/>
  <sheetViews>
    <sheetView workbookViewId="0">
      <selection activeCell="B10" sqref="B10"/>
    </sheetView>
  </sheetViews>
  <sheetFormatPr defaultRowHeight="15" x14ac:dyDescent="0.25"/>
  <cols>
    <col min="1" max="1" width="47.85546875" bestFit="1" customWidth="1"/>
    <col min="2" max="2" width="23" style="3" customWidth="1"/>
    <col min="3" max="3" width="22.28515625" style="3" customWidth="1"/>
    <col min="4" max="4" width="14.7109375" customWidth="1"/>
    <col min="6" max="6" width="23.42578125" bestFit="1" customWidth="1"/>
  </cols>
  <sheetData>
    <row r="1" spans="1:6" ht="18.75" x14ac:dyDescent="0.3">
      <c r="A1" s="2" t="s">
        <v>0</v>
      </c>
    </row>
    <row r="2" spans="1:6" x14ac:dyDescent="0.25">
      <c r="A2" s="1" t="s">
        <v>6</v>
      </c>
    </row>
    <row r="3" spans="1:6" x14ac:dyDescent="0.25">
      <c r="A3" s="1" t="s">
        <v>4</v>
      </c>
      <c r="B3" s="4" t="s">
        <v>3</v>
      </c>
      <c r="C3" s="4"/>
      <c r="D3" s="1" t="s">
        <v>227</v>
      </c>
    </row>
    <row r="4" spans="1:6" x14ac:dyDescent="0.25">
      <c r="A4" t="s">
        <v>5</v>
      </c>
      <c r="B4" s="13"/>
      <c r="D4" t="s">
        <v>135</v>
      </c>
      <c r="F4" s="16" t="s">
        <v>254</v>
      </c>
    </row>
    <row r="5" spans="1:6" x14ac:dyDescent="0.25">
      <c r="A5" t="s">
        <v>27</v>
      </c>
      <c r="B5" s="13"/>
      <c r="D5" t="s">
        <v>29</v>
      </c>
      <c r="F5" s="20" t="s">
        <v>255</v>
      </c>
    </row>
    <row r="6" spans="1:6" x14ac:dyDescent="0.25">
      <c r="A6" t="s">
        <v>133</v>
      </c>
      <c r="B6" s="13"/>
      <c r="D6" t="s">
        <v>134</v>
      </c>
    </row>
    <row r="7" spans="1:6" x14ac:dyDescent="0.25">
      <c r="A7" t="s">
        <v>251</v>
      </c>
      <c r="B7" s="13"/>
      <c r="D7" t="s">
        <v>124</v>
      </c>
    </row>
    <row r="8" spans="1:6" x14ac:dyDescent="0.25">
      <c r="A8" t="s">
        <v>1</v>
      </c>
      <c r="B8" s="13"/>
      <c r="D8" t="s">
        <v>15</v>
      </c>
    </row>
    <row r="9" spans="1:6" x14ac:dyDescent="0.25">
      <c r="A9" t="s">
        <v>2</v>
      </c>
      <c r="B9" s="13"/>
      <c r="D9" t="s">
        <v>16</v>
      </c>
    </row>
    <row r="10" spans="1:6" x14ac:dyDescent="0.25">
      <c r="A10" t="s">
        <v>8</v>
      </c>
      <c r="B10" s="13"/>
      <c r="D10" t="s">
        <v>136</v>
      </c>
    </row>
    <row r="11" spans="1:6" x14ac:dyDescent="0.25">
      <c r="A11" t="s">
        <v>9</v>
      </c>
      <c r="B11" s="13"/>
      <c r="D11" t="s">
        <v>17</v>
      </c>
    </row>
    <row r="12" spans="1:6" x14ac:dyDescent="0.25">
      <c r="A12" t="s">
        <v>10</v>
      </c>
      <c r="B12" s="13"/>
      <c r="D12" t="s">
        <v>18</v>
      </c>
    </row>
    <row r="13" spans="1:6" x14ac:dyDescent="0.25">
      <c r="A13" t="s">
        <v>11</v>
      </c>
      <c r="B13" s="13"/>
      <c r="D13" t="s">
        <v>19</v>
      </c>
    </row>
    <row r="14" spans="1:6" x14ac:dyDescent="0.25">
      <c r="A14" t="s">
        <v>12</v>
      </c>
      <c r="B14" s="13"/>
      <c r="D14" t="s">
        <v>20</v>
      </c>
    </row>
    <row r="15" spans="1:6" x14ac:dyDescent="0.25">
      <c r="A15" t="s">
        <v>13</v>
      </c>
      <c r="B15" s="13"/>
      <c r="D15" t="s">
        <v>21</v>
      </c>
    </row>
    <row r="16" spans="1:6" x14ac:dyDescent="0.25">
      <c r="A16" t="s">
        <v>137</v>
      </c>
      <c r="B16" s="14"/>
      <c r="D16" t="s">
        <v>138</v>
      </c>
    </row>
    <row r="17" spans="1:4" x14ac:dyDescent="0.25">
      <c r="A17" t="s">
        <v>174</v>
      </c>
      <c r="B17" s="21"/>
      <c r="D17" t="s">
        <v>142</v>
      </c>
    </row>
    <row r="18" spans="1:4" x14ac:dyDescent="0.25">
      <c r="A18" t="s">
        <v>140</v>
      </c>
      <c r="B18" s="14"/>
      <c r="D18" t="s">
        <v>141</v>
      </c>
    </row>
    <row r="19" spans="1:4" x14ac:dyDescent="0.25">
      <c r="A19" t="s">
        <v>162</v>
      </c>
      <c r="B19" s="21"/>
      <c r="D19" t="s">
        <v>165</v>
      </c>
    </row>
    <row r="20" spans="1:4" x14ac:dyDescent="0.25">
      <c r="A20" t="s">
        <v>163</v>
      </c>
      <c r="B20" s="21"/>
      <c r="D20" t="s">
        <v>166</v>
      </c>
    </row>
    <row r="21" spans="1:4" x14ac:dyDescent="0.25">
      <c r="A21" t="s">
        <v>164</v>
      </c>
      <c r="B21" s="21"/>
      <c r="D21" t="s">
        <v>167</v>
      </c>
    </row>
    <row r="22" spans="1:4" x14ac:dyDescent="0.25">
      <c r="A22" t="s">
        <v>169</v>
      </c>
      <c r="B22" s="13"/>
      <c r="D22" t="s">
        <v>139</v>
      </c>
    </row>
    <row r="23" spans="1:4" x14ac:dyDescent="0.25">
      <c r="A23" t="s">
        <v>175</v>
      </c>
      <c r="B23" s="13"/>
      <c r="D23" t="s">
        <v>22</v>
      </c>
    </row>
    <row r="24" spans="1:4" x14ac:dyDescent="0.25">
      <c r="A24" t="s">
        <v>170</v>
      </c>
      <c r="B24" s="13"/>
      <c r="D24" t="s">
        <v>23</v>
      </c>
    </row>
    <row r="25" spans="1:4" x14ac:dyDescent="0.25">
      <c r="A25" t="s">
        <v>171</v>
      </c>
      <c r="B25" s="13"/>
      <c r="D25" t="s">
        <v>24</v>
      </c>
    </row>
    <row r="26" spans="1:4" x14ac:dyDescent="0.25">
      <c r="A26" t="s">
        <v>172</v>
      </c>
      <c r="B26" s="13"/>
      <c r="D26" t="s">
        <v>25</v>
      </c>
    </row>
    <row r="27" spans="1:4" x14ac:dyDescent="0.25">
      <c r="A27" t="s">
        <v>173</v>
      </c>
      <c r="B27" s="13"/>
      <c r="D27" t="s">
        <v>26</v>
      </c>
    </row>
    <row r="28" spans="1:4" x14ac:dyDescent="0.25">
      <c r="A28" t="s">
        <v>239</v>
      </c>
      <c r="B28" s="17"/>
      <c r="D28" t="s">
        <v>232</v>
      </c>
    </row>
  </sheetData>
  <sheetProtection sheet="1" objects="1" scenarios="1"/>
  <protectedRanges>
    <protectedRange sqref="B4:B28" name="chromatography"/>
  </protectedRanges>
  <dataValidations count="28">
    <dataValidation allowBlank="1" showErrorMessage="1" promptTitle="Type of Chromatography" sqref="A4" xr:uid="{F9DCDE81-46C3-443B-8BD5-5DA566F264FA}"/>
    <dataValidation allowBlank="1" showErrorMessage="1" promptTitle="Chromatograph Vendor" sqref="A5" xr:uid="{1093E443-B630-4E5F-8AFF-43B56A2D00D7}"/>
    <dataValidation allowBlank="1" showErrorMessage="1" sqref="A8" xr:uid="{F7A7782D-1D7D-49C8-8D3F-0367B25053A8}"/>
    <dataValidation allowBlank="1" showErrorMessage="1" promptTitle="Mobile Phase 2 Solvent" sqref="A10" xr:uid="{CC623E8A-FFC5-4C4E-8BA5-19988213AF99}"/>
    <dataValidation allowBlank="1" showErrorMessage="1" promptTitle="Mobile Phase 3 Solvent" sqref="A12" xr:uid="{D762CC4D-CE0B-477A-825A-C6D7C4E223C2}"/>
    <dataValidation allowBlank="1" showErrorMessage="1" promptTitle="Mobile Phase 4 Solvent" sqref="A14" xr:uid="{504F4ABF-62B8-4A4D-A066-AD12C4E28BF6}"/>
    <dataValidation allowBlank="1" showErrorMessage="1" promptTitle="Mobile Phase 1 Additive" sqref="A9" xr:uid="{E25C8887-8C99-487D-A7C8-C2389BC89AC3}"/>
    <dataValidation allowBlank="1" showErrorMessage="1" promptTitle="Mobile Phase 2 Additive" sqref="A11" xr:uid="{AEAC643B-EFBC-4912-9C27-19A46DDC2208}"/>
    <dataValidation allowBlank="1" showErrorMessage="1" promptTitle="Mobile Phase 3 Additive" sqref="A13" xr:uid="{6AC20B2D-C05F-4CA6-93E0-1B4B14386FD7}"/>
    <dataValidation allowBlank="1" showErrorMessage="1" promptTitle="Mobile Phase 4 Additive" sqref="A15:A21" xr:uid="{AD1A6E9A-9935-4225-BF2B-8DC9BF9171F5}"/>
    <dataValidation allowBlank="1" showErrorMessage="1" promptTitle="Chromatography Column Vendor" sqref="A22" xr:uid="{09015A4C-A8B3-4325-AE84-70762CABAFD2}"/>
    <dataValidation allowBlank="1" showErrorMessage="1" promptTitle="Name of Chromatography Column" sqref="A23" xr:uid="{D8FEE04C-0AC4-42FF-B7CE-A8EE838E5966}"/>
    <dataValidation allowBlank="1" showErrorMessage="1" promptTitle="Column phase" sqref="A24" xr:uid="{46321A32-1616-4D08-A185-2687955DC0DA}"/>
    <dataValidation allowBlank="1" showErrorMessage="1" promptTitle="Column Inner Diameter" sqref="A25" xr:uid="{6172C91F-25E6-4960-98C9-84AE9AA491AB}"/>
    <dataValidation allowBlank="1" showInputMessage="1" showErrorMessage="1" promptTitle="Column Length" sqref="A26" xr:uid="{5057E367-42B7-4882-AC35-2181FF17E8B7}"/>
    <dataValidation allowBlank="1" showErrorMessage="1" promptTitle="Particle Diameter/Film Thickness" prompt="." sqref="A27" xr:uid="{141F0105-DA38-4786-B21D-3042E6E0D34E}"/>
    <dataValidation type="decimal" allowBlank="1" showInputMessage="1" showErrorMessage="1" promptTitle="Column Inner Diameter" prompt="Inner diameter (ID) of the analytical column. For liquid chromatography, use mm units for inner diameter. For gas chromatography/capillary electrophoresis, us μm units for inner diameter." sqref="B25" xr:uid="{CA262829-3594-4B11-9023-E2EC92D54E4F}">
      <formula1>0</formula1>
      <formula2>10</formula2>
    </dataValidation>
    <dataValidation type="decimal" allowBlank="1" showInputMessage="1" showErrorMessage="1" promptTitle="Column length" prompt="Length (L) of the analytical column. For liquid chromatography and capillary electrophoresis, use mm units for length. For gas chromatography, use m units for length." sqref="B26" xr:uid="{517D2000-591B-4BF9-858C-0469DE47B5E1}">
      <formula1>0</formula1>
      <formula2>500</formula2>
    </dataValidation>
    <dataValidation type="decimal" allowBlank="1" showInputMessage="1" showErrorMessage="1" prompt="For liquid chromatography, use the particle diameter (dp in μm) of the stationary phase particles of the analytical column. For gas chromatography and capillary electrophoresis, use film thickness (in μm) if applicable" sqref="B27" xr:uid="{88B360AE-46B9-4BCE-A561-B4574B64F1A0}">
      <formula1>0</formula1>
      <formula2>100</formula2>
    </dataValidation>
    <dataValidation allowBlank="1" showErrorMessage="1" promptTitle="Sample Solvent" sqref="A7" xr:uid="{40C7E43A-13CA-4891-A399-3FC28BFEBF07}"/>
    <dataValidation allowBlank="1" showErrorMessage="1" promptTitle="Chromatograph Model" sqref="A6" xr:uid="{EF756C81-6CC6-43E7-8C66-E20F01E4C412}"/>
    <dataValidation allowBlank="1" showInputMessage="1" showErrorMessage="1" promptTitle="Model" prompt="Model Name of the chromatograph used" sqref="B6" xr:uid="{BB8F9ED0-2D2E-4FDE-86BF-B3A7DC55027E}"/>
    <dataValidation allowBlank="1" showInputMessage="1" showErrorMessage="1" promptTitle="Column Brand" prompt="Vendor brand name of the column/stationary phase for the analytical column" sqref="B23" xr:uid="{31470200-4A14-47D5-B6F5-B48887630E8F}"/>
    <dataValidation type="decimal" allowBlank="1" showInputMessage="1" showErrorMessage="1" prompt="For liquid chromatography, use the particle diameter (dp in μm) of the stationary phase particles of the guard column. For gas chromatography and capillary electrophoresis, use film thickness (in μm) if applicable. Leave blank if not used." sqref="B21" xr:uid="{BB898DED-19A1-41E1-9B22-E31A1425ABE9}">
      <formula1>0</formula1>
      <formula2>100</formula2>
    </dataValidation>
    <dataValidation allowBlank="1" showInputMessage="1" showErrorMessage="1" promptTitle="Guard Column Brand" prompt="Vendor brand name of the column/stationary phase for the brand column, leave blank if not used" sqref="B17" xr:uid="{6AE39E50-E432-4447-8D72-61A23AACD826}"/>
    <dataValidation type="decimal" allowBlank="1" showInputMessage="1" showErrorMessage="1" promptTitle="Guard Column Inner Diameter" prompt="Inner diameter (ID) of the guard column. For liquid chromatography, use mm units for inner diameter. For gas chromatography/capillary electrophoresis, us μm units for inner diameter. Leave blank if not used." sqref="B19" xr:uid="{9ADB23A1-9BE2-4803-8DEE-4D9794929DA0}">
      <formula1>0</formula1>
      <formula2>10</formula2>
    </dataValidation>
    <dataValidation type="decimal" allowBlank="1" showInputMessage="1" showErrorMessage="1" promptTitle="Guard Column Length" prompt="Length (L) of the analytical column. For liquid chromatography and capillary electrophoresis, use mm units for length. For gas chromatography, use m units for length. Leave blank if not used." sqref="B20" xr:uid="{A556613B-B223-4F39-9307-76B27D7A8D1A}">
      <formula1>0</formula1>
      <formula2>500</formula2>
    </dataValidation>
    <dataValidation allowBlank="1" showInputMessage="1" showErrorMessage="1" promptTitle="Method Source" prompt="If information related to the chromatography method used has been published in peer reviewed literature, include the DOI for the publication. If not, leave blank." sqref="B28" xr:uid="{1E505403-5FB9-4A22-A5F5-BA01E4561017}"/>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40" r:id="rId4" name="Button 4">
              <controlPr defaultSize="0" print="0" autoFill="0" autoPict="0" macro="[0]!sample_chromatography_next">
                <anchor moveWithCells="1" sizeWithCells="1">
                  <from>
                    <xdr:col>5</xdr:col>
                    <xdr:colOff>0</xdr:colOff>
                    <xdr:row>6</xdr:row>
                    <xdr:rowOff>9525</xdr:rowOff>
                  </from>
                  <to>
                    <xdr:col>6</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6">
        <x14:dataValidation type="list" allowBlank="1" showInputMessage="1" showErrorMessage="1" promptTitle="Sample Injection Solvent" prompt="Primary solvent (&gt; 50 %) consistuent of the sample, as injected." xr:uid="{CC659C82-18C9-4347-861A-0FB4B7009EDF}">
          <x14:formula1>
            <xm:f>Input_Validation!$D$3:$D$11</xm:f>
          </x14:formula1>
          <xm:sqref>B7</xm:sqref>
        </x14:dataValidation>
        <x14:dataValidation type="list" allowBlank="1" showInputMessage="1" showErrorMessage="1" promptTitle="Mobile Phase 4 Additive" prompt="The primary buffer/acid/base additive used in mobile phase 4 (mobile phase D)" xr:uid="{07A7D6A9-398E-41C6-9649-9280D1D33FAE}">
          <x14:formula1>
            <xm:f>Input_Validation!$L$3:$L$9</xm:f>
          </x14:formula1>
          <xm:sqref>B17 B19:B21</xm:sqref>
        </x14:dataValidation>
        <x14:dataValidation type="list" allowBlank="1" showInputMessage="1" showErrorMessage="1" promptTitle="Type of Chromatography" prompt="Type of Chromatography used for method." xr:uid="{50322E4A-8CEF-4C69-B4FF-CB1203ED4ED3}">
          <x14:formula1>
            <xm:f>Input_Validation!$B$3:$B$6</xm:f>
          </x14:formula1>
          <xm:sqref>B4</xm:sqref>
        </x14:dataValidation>
        <x14:dataValidation type="list" allowBlank="1" showInputMessage="1" showErrorMessage="1" promptTitle="Chromatograph Vendor" prompt="Vendor/Manufacturer of the chromatograph used" xr:uid="{A5D5C19E-7B04-4BE0-B126-6D7626D3651A}">
          <x14:formula1>
            <xm:f>Input_Validation!$C$3:$C$9</xm:f>
          </x14:formula1>
          <xm:sqref>B5</xm:sqref>
        </x14:dataValidation>
        <x14:dataValidation type="list" allowBlank="1" showInputMessage="1" showErrorMessage="1" promptTitle="Mobile Phase 1 Solvent" prompt="The primary solvent component (&gt;= 50 %)of the chromatography mobile phase 1 (mobile phase A). Use 'none' if using GC or no chromatography." xr:uid="{13173994-F4D4-4299-9CE6-16A75C1889DF}">
          <x14:formula1>
            <xm:f>Input_Validation!$E$3:$E$11</xm:f>
          </x14:formula1>
          <xm:sqref>B8</xm:sqref>
        </x14:dataValidation>
        <x14:dataValidation type="list" allowBlank="1" showInputMessage="1" showErrorMessage="1" promptTitle="Mobile Phase 1 Additive" prompt="The primary buffer/acid/base additive used in mobile phase 1 (mobile phase A)" xr:uid="{8A5AD29C-FD7A-4C68-A488-DAA285196696}">
          <x14:formula1>
            <xm:f>Input_Validation!$F$3:$F$9</xm:f>
          </x14:formula1>
          <xm:sqref>B9</xm:sqref>
        </x14:dataValidation>
        <x14:dataValidation type="list" allowBlank="1" showInputMessage="1" showErrorMessage="1" promptTitle="Mobile Phase 2 Solvent" prompt="The primary solvent component (&gt;= 50 %)of the chromatography mobile phase 2 (mobile phase B). Use 'none' if using GC or no chromatography." xr:uid="{B4E756B2-41B7-4C17-9A57-57988C82F8FF}">
          <x14:formula1>
            <xm:f>Input_Validation!$G$3:$G$11</xm:f>
          </x14:formula1>
          <xm:sqref>B10</xm:sqref>
        </x14:dataValidation>
        <x14:dataValidation type="list" allowBlank="1" showInputMessage="1" showErrorMessage="1" promptTitle="Mobile Phase 2 Additive" prompt="The primary buffer/acid/base additive used in mobile phase 2 (mobile phase B)" xr:uid="{9ED6E5D3-DFB7-4B59-AC62-4FA9301936D0}">
          <x14:formula1>
            <xm:f>Input_Validation!$H$3:$H$9</xm:f>
          </x14:formula1>
          <xm:sqref>B11</xm:sqref>
        </x14:dataValidation>
        <x14:dataValidation type="list" allowBlank="1" showInputMessage="1" showErrorMessage="1" promptTitle="Mobile Phase 3 Solvent" prompt="The primary solvent component (&gt;= 50 %)of the chromatography mobile phase 3 (mobile phase C). Use 'none' if using GC or no chromatography." xr:uid="{45D74FCA-8516-464F-910D-0CB3A78A7D73}">
          <x14:formula1>
            <xm:f>Input_Validation!$I$3:$I$11</xm:f>
          </x14:formula1>
          <xm:sqref>B12</xm:sqref>
        </x14:dataValidation>
        <x14:dataValidation type="list" allowBlank="1" showInputMessage="1" showErrorMessage="1" promptTitle="Mobile Phase 3 Additive" prompt="The primary buffer/acid/base additive used in mobile phase 3 (mobile phase C)" xr:uid="{E6222DFD-795E-4E05-B7C8-67381F277EAE}">
          <x14:formula1>
            <xm:f>Input_Validation!$J$3:$J$9</xm:f>
          </x14:formula1>
          <xm:sqref>B13</xm:sqref>
        </x14:dataValidation>
        <x14:dataValidation type="list" allowBlank="1" showInputMessage="1" showErrorMessage="1" promptTitle="Mobile Phase 4 Solvent" prompt="The primary solvent component (&gt;= 50 %)of the chromatography mobile phase 4 (mobile phase D). Use 'none' if using GC or no chromatography." xr:uid="{AC008221-B5E6-465A-AE4B-1887096243DE}">
          <x14:formula1>
            <xm:f>Input_Validation!$K$3:$K$11</xm:f>
          </x14:formula1>
          <xm:sqref>B14</xm:sqref>
        </x14:dataValidation>
        <x14:dataValidation type="list" allowBlank="1" showInputMessage="1" showErrorMessage="1" promptTitle="Mobile Phase 4 Additive" prompt="The primary buffer/acid/base additive used in mobile phase 4 (mobile phase D)" xr:uid="{570FD542-58DE-4830-8D3F-0DD0152FE415}">
          <x14:formula1>
            <xm:f>Input_Validation!$L$3:$L$9</xm:f>
          </x14:formula1>
          <xm:sqref>B15</xm:sqref>
        </x14:dataValidation>
        <x14:dataValidation type="list" allowBlank="1" showInputMessage="1" showErrorMessage="1" promptTitle="Guard Column Vendor" prompt="Vendor/Manufacturer of the guard column, use &quot;none&quot; if not used." xr:uid="{766AC24A-56EC-4D9C-884C-DA5C87CB4933}">
          <x14:formula1>
            <xm:f>Input_Validation!$O$3:$O$11</xm:f>
          </x14:formula1>
          <xm:sqref>B16</xm:sqref>
        </x14:dataValidation>
        <x14:dataValidation type="list" allowBlank="1" showInputMessage="1" showErrorMessage="1" promptTitle="Guard Column Phase" prompt="Stationary phase chemistry/ligand of the chromatography column, use 'none' if not used." xr:uid="{028032FF-BDBE-4364-946B-C7585001A9F6}">
          <x14:formula1>
            <xm:f>Input_Validation!$P$3:$P$11</xm:f>
          </x14:formula1>
          <xm:sqref>B18</xm:sqref>
        </x14:dataValidation>
        <x14:dataValidation type="list" allowBlank="1" showInputMessage="1" showErrorMessage="1" promptTitle="Analytical Column Vendor" prompt="Vendor/Manufacturer of the analytical column" xr:uid="{B246B627-9D5B-4F03-A9B4-4A3512024B87}">
          <x14:formula1>
            <xm:f>Input_Validation!$M$3:$M$10</xm:f>
          </x14:formula1>
          <xm:sqref>B22</xm:sqref>
        </x14:dataValidation>
        <x14:dataValidation type="list" allowBlank="1" showInputMessage="1" showErrorMessage="1" promptTitle="Analytical Column Phase" prompt="Stationary phase chemistry/ligand of the chromatography column" xr:uid="{630EA41B-8CAC-4023-B026-ACC0CE4E81C9}">
          <x14:formula1>
            <xm:f>Input_Validation!$N$3:$N$11</xm:f>
          </x14:formula1>
          <xm:sqref>B24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F9FF2-431A-40FC-B169-F0026EF060BD}">
  <sheetPr codeName="Sheet5"/>
  <dimension ref="A1:F22"/>
  <sheetViews>
    <sheetView workbookViewId="0">
      <selection activeCell="B15" sqref="B15"/>
    </sheetView>
  </sheetViews>
  <sheetFormatPr defaultRowHeight="15" x14ac:dyDescent="0.25"/>
  <cols>
    <col min="1" max="1" width="34.5703125" bestFit="1" customWidth="1"/>
    <col min="2" max="2" width="38.7109375" style="3" bestFit="1" customWidth="1"/>
    <col min="3" max="3" width="22.28515625" style="3" customWidth="1"/>
    <col min="4" max="4" width="14" customWidth="1"/>
    <col min="6" max="6" width="23.42578125" bestFit="1" customWidth="1"/>
  </cols>
  <sheetData>
    <row r="1" spans="1:6" ht="18.75" x14ac:dyDescent="0.3">
      <c r="A1" s="2" t="s">
        <v>30</v>
      </c>
    </row>
    <row r="2" spans="1:6" x14ac:dyDescent="0.25">
      <c r="A2" s="1" t="s">
        <v>6</v>
      </c>
    </row>
    <row r="3" spans="1:6" x14ac:dyDescent="0.25">
      <c r="A3" s="1" t="s">
        <v>4</v>
      </c>
      <c r="B3" s="4" t="s">
        <v>3</v>
      </c>
      <c r="C3" s="4"/>
      <c r="D3" s="1" t="s">
        <v>227</v>
      </c>
    </row>
    <row r="4" spans="1:6" x14ac:dyDescent="0.25">
      <c r="A4" t="s">
        <v>31</v>
      </c>
      <c r="B4" s="13"/>
      <c r="D4" t="s">
        <v>132</v>
      </c>
      <c r="F4" s="16" t="s">
        <v>254</v>
      </c>
    </row>
    <row r="5" spans="1:6" x14ac:dyDescent="0.25">
      <c r="A5" t="s">
        <v>130</v>
      </c>
      <c r="B5" s="13"/>
      <c r="D5" t="s">
        <v>131</v>
      </c>
      <c r="F5" s="20" t="s">
        <v>255</v>
      </c>
    </row>
    <row r="6" spans="1:6" x14ac:dyDescent="0.25">
      <c r="A6" t="s">
        <v>32</v>
      </c>
      <c r="B6" s="13"/>
      <c r="D6" t="s">
        <v>233</v>
      </c>
    </row>
    <row r="7" spans="1:6" x14ac:dyDescent="0.25">
      <c r="A7" t="s">
        <v>33</v>
      </c>
      <c r="B7" s="13"/>
      <c r="D7" t="s">
        <v>35</v>
      </c>
    </row>
    <row r="8" spans="1:6" x14ac:dyDescent="0.25">
      <c r="A8" t="s">
        <v>228</v>
      </c>
      <c r="B8" s="13"/>
      <c r="D8" t="s">
        <v>234</v>
      </c>
    </row>
    <row r="9" spans="1:6" x14ac:dyDescent="0.25">
      <c r="A9" t="s">
        <v>36</v>
      </c>
      <c r="B9" s="13"/>
      <c r="D9" t="s">
        <v>38</v>
      </c>
    </row>
    <row r="10" spans="1:6" x14ac:dyDescent="0.25">
      <c r="A10" t="s">
        <v>39</v>
      </c>
      <c r="B10" s="13"/>
      <c r="D10" t="s">
        <v>41</v>
      </c>
    </row>
    <row r="11" spans="1:6" x14ac:dyDescent="0.25">
      <c r="A11" t="s">
        <v>42</v>
      </c>
      <c r="B11" s="13"/>
      <c r="D11" t="s">
        <v>44</v>
      </c>
    </row>
    <row r="12" spans="1:6" x14ac:dyDescent="0.25">
      <c r="A12" t="s">
        <v>176</v>
      </c>
      <c r="B12" s="13"/>
      <c r="D12" t="s">
        <v>46</v>
      </c>
    </row>
    <row r="13" spans="1:6" x14ac:dyDescent="0.25">
      <c r="A13" t="s">
        <v>229</v>
      </c>
      <c r="B13" s="13"/>
      <c r="D13" t="s">
        <v>235</v>
      </c>
    </row>
    <row r="14" spans="1:6" x14ac:dyDescent="0.25">
      <c r="A14" t="s">
        <v>178</v>
      </c>
      <c r="B14" s="13"/>
      <c r="D14" t="s">
        <v>236</v>
      </c>
    </row>
    <row r="15" spans="1:6" x14ac:dyDescent="0.25">
      <c r="A15" t="s">
        <v>179</v>
      </c>
      <c r="B15" s="13"/>
      <c r="D15" t="s">
        <v>237</v>
      </c>
    </row>
    <row r="16" spans="1:6" x14ac:dyDescent="0.25">
      <c r="A16" t="s">
        <v>58</v>
      </c>
      <c r="B16" s="13"/>
      <c r="D16" t="s">
        <v>59</v>
      </c>
    </row>
    <row r="17" spans="1:4" x14ac:dyDescent="0.25">
      <c r="A17" t="s">
        <v>60</v>
      </c>
      <c r="B17" s="22"/>
      <c r="D17" t="s">
        <v>61</v>
      </c>
    </row>
    <row r="18" spans="1:4" x14ac:dyDescent="0.25">
      <c r="A18" t="s">
        <v>180</v>
      </c>
      <c r="B18" s="13"/>
      <c r="D18" t="s">
        <v>125</v>
      </c>
    </row>
    <row r="19" spans="1:4" x14ac:dyDescent="0.25">
      <c r="A19" t="s">
        <v>276</v>
      </c>
      <c r="B19" s="13"/>
      <c r="D19" t="s">
        <v>277</v>
      </c>
    </row>
    <row r="20" spans="1:4" x14ac:dyDescent="0.25">
      <c r="A20" t="s">
        <v>126</v>
      </c>
      <c r="B20" s="13"/>
      <c r="D20" t="s">
        <v>128</v>
      </c>
    </row>
    <row r="21" spans="1:4" x14ac:dyDescent="0.25">
      <c r="A21" t="s">
        <v>127</v>
      </c>
      <c r="B21" s="22"/>
      <c r="D21" t="s">
        <v>129</v>
      </c>
    </row>
    <row r="22" spans="1:4" x14ac:dyDescent="0.25">
      <c r="A22" t="s">
        <v>238</v>
      </c>
      <c r="B22" s="19"/>
      <c r="D22" t="s">
        <v>232</v>
      </c>
    </row>
  </sheetData>
  <sheetProtection sheet="1" objects="1" scenarios="1"/>
  <protectedRanges>
    <protectedRange sqref="B4:B22" name="mass spectrometry"/>
  </protectedRanges>
  <dataValidations count="26">
    <dataValidation allowBlank="1" showErrorMessage="1" promptTitle="Vendor of Mass Spectrometer" sqref="A4" xr:uid="{AB3706B0-9387-4880-A49D-D16082DE7FB5}"/>
    <dataValidation allowBlank="1" showErrorMessage="1" promptTitle="Ionization Mode" sqref="A6" xr:uid="{17CAC4F6-F2D1-4AC0-B0FE-26B48990EC6C}"/>
    <dataValidation allowBlank="1" showErrorMessage="1" promptTitle="Ionization Polarity" sqref="A7" xr:uid="{A0E98779-AFBB-484D-A1A6-C643D92D422D}"/>
    <dataValidation allowBlank="1" showInputMessage="1" showErrorMessage="1" promptTitle="Ionization Voltage/Current" sqref="A8" xr:uid="{13D51DB7-F678-40D6-AAB1-981D28A1E597}"/>
    <dataValidation allowBlank="1" showInputMessage="1" showErrorMessage="1" promptTitle="Units of ionization voltage/curr" sqref="A9" xr:uid="{A33186FB-0F18-4471-B488-4AB815C081E6}"/>
    <dataValidation allowBlank="1" showInputMessage="1" showErrorMessage="1" promptTitle="First mass analyzer" sqref="A10" xr:uid="{D49C04F7-EED0-403F-A817-FE23C657D10B}"/>
    <dataValidation allowBlank="1" showInputMessage="1" showErrorMessage="1" promptTitle="Last Mass Analyzer" sqref="A11" xr:uid="{515043A1-101B-4350-B4E6-9D4E7FA0855F}"/>
    <dataValidation allowBlank="1" showInputMessage="1" showErrorMessage="1" promptTitle="Collision Cell Type" sqref="A12" xr:uid="{ACD9D73E-6F0A-4445-8433-E942A4A28E10}"/>
    <dataValidation allowBlank="1" showErrorMessage="1" promptTitle="Fragmentation/Collision Energy" sqref="A13" xr:uid="{99CFDF53-2F7E-4856-810C-24BC7B53F445}"/>
    <dataValidation allowBlank="1" showInputMessage="1" showErrorMessage="1" promptTitle="Type of Fragmentation/Collision " sqref="A14" xr:uid="{8A8BD610-85A6-4F51-B828-E58D9B44F8BC}"/>
    <dataValidation allowBlank="1" showErrorMessage="1" promptTitle="F/CE Units" sqref="A15" xr:uid="{44FA1DE5-7137-4C2E-B514-35BD22E1BEA2}"/>
    <dataValidation allowBlank="1" showErrorMessage="1" promptTitle="MS2 Experiment Type" sqref="A16" xr:uid="{F6ABF1FB-A492-4271-9A77-8F638FD92FFC}"/>
    <dataValidation allowBlank="1" showErrorMessage="1" promptTitle="Isolation Width/Window" sqref="A17" xr:uid="{5628A615-D224-49BC-B979-F79B18A50BC7}"/>
    <dataValidation allowBlank="1" showErrorMessage="1" promptTitle="Instrument Accuracy" sqref="A18:A19" xr:uid="{F4E86A4B-9A81-44AF-90FF-F25F84A8723D}"/>
    <dataValidation allowBlank="1" showInputMessage="1" showErrorMessage="1" promptTitle="MS1 Resolution" sqref="A20" xr:uid="{77C4FC3E-3DA1-442C-B04D-E44F3BECA3F9}"/>
    <dataValidation allowBlank="1" showErrorMessage="1" promptTitle="MS2 Resolution" prompt="The resolution setting for the MS2 experiment" sqref="A21" xr:uid="{A9142055-A57C-4F61-8090-30D840B107A9}"/>
    <dataValidation allowBlank="1" showErrorMessage="1" promptTitle="Model of Mass Spectrometer" sqref="A5" xr:uid="{83D102FC-519E-4E7A-BAF0-C0D16E448652}"/>
    <dataValidation allowBlank="1" showInputMessage="1" showErrorMessage="1" promptTitle="MS Model" prompt="Model name of the mass spectrometer used." sqref="B5" xr:uid="{23DD9494-B398-4A05-8F2D-926E0427AF29}"/>
    <dataValidation allowBlank="1" showInputMessage="1" showErrorMessage="1" promptTitle="Isolation Width" prompt="For TopN/DDA, the isolation width of the first mass analyzer (in Da)_x000a_For SWATH, the sequential window width of the first mass analyzer (in Da)_x000a_For AIF/DIA, leave cell blank" sqref="B17" xr:uid="{1622E7C0-BDAC-4131-B103-A3D6864D6357}"/>
    <dataValidation allowBlank="1" showInputMessage="1" showErrorMessage="1" promptTitle="Mass Accuracy" prompt="The mass accuracy of the instrument (in ppm)" sqref="B18" xr:uid="{9A409CE0-DEB4-4FF0-AF3F-8CF498A46B3A}"/>
    <dataValidation allowBlank="1" showInputMessage="1" showErrorMessage="1" promptTitle="MS1 Resolution" prompt="The resolution setting for the MS1 experiment." sqref="B20" xr:uid="{953D9765-1F16-4D83-8DDF-523098792D43}"/>
    <dataValidation allowBlank="1" showInputMessage="1" showErrorMessage="1" prompt="The resolution setting for the MS2 experiment. Leave blank if MS2 was not performed." sqref="B21" xr:uid="{98C99FC3-A7EF-4E00-83E2-E5A682ECE208}"/>
    <dataValidation allowBlank="1" showInputMessage="1" showErrorMessage="1" promptTitle="Fragmentation Energy Value" prompt="Value of the fragmentation or collision energy used in the collision cell, if ranged/stepped separate values with semicolon (;). Indicate units below." sqref="B13" xr:uid="{B78F7D6E-FE3A-4F13-9EA7-25D8B0BB133D}"/>
    <dataValidation type="decimal" allowBlank="1" showInputMessage="1" showErrorMessage="1" promptTitle="Ionization Voltage/Current Value" prompt="Voltage/current applied for ionization, use below cell to indicate units. Use absolute value, do not indicate negative or positive charge." sqref="B8" xr:uid="{5951695B-972A-4779-9A55-E6458BE1D490}">
      <formula1>0</formula1>
      <formula2>1000000</formula2>
    </dataValidation>
    <dataValidation allowBlank="1" showInputMessage="1" showErrorMessage="1" promptTitle="MS Method Source" prompt="If information related to the MS method used has been published in peer reviewed literature, include the DOI for the publication. If not, leave blank." sqref="B22" xr:uid="{81CCB33C-491E-4824-9F16-A7526B9198C6}"/>
    <dataValidation allowBlank="1" showInputMessage="1" showErrorMessage="1" promptTitle="Minimum mass error" prompt="The absolute mass error (in Da) that the instrument is capable of. Recommended values for Orbitrap HRMS is 0.002, for TOF HRMS is 0.01" sqref="B19" xr:uid="{1E0B3E76-CCE7-4D84-AB7D-194D3777C984}"/>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5" r:id="rId3" name="Button 5">
              <controlPr defaultSize="0" print="0" autoFill="0" autoPict="0" macro="[0]!sample_massspectrometry_next">
                <anchor moveWithCells="1" sizeWithCells="1">
                  <from>
                    <xdr:col>5</xdr:col>
                    <xdr:colOff>0</xdr:colOff>
                    <xdr:row>6</xdr:row>
                    <xdr:rowOff>9525</xdr:rowOff>
                  </from>
                  <to>
                    <xdr:col>6</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promptTitle="Mass Spectrometer Vendor" prompt="Vendor/Manufacturer of the mass spectrometer used." xr:uid="{79436DCD-F385-491B-B2B0-5B8CC22081D3}">
          <x14:formula1>
            <xm:f>Input_Validation!$Q$3:$Q$8</xm:f>
          </x14:formula1>
          <xm:sqref>B4</xm:sqref>
        </x14:dataValidation>
        <x14:dataValidation type="list" allowBlank="1" showInputMessage="1" showErrorMessage="1" promptTitle="Ionization Mode" prompt="Mode of ionization of the mass spectrometer." xr:uid="{37A92A34-42E8-4FC5-A0FA-D973E92EA540}">
          <x14:formula1>
            <xm:f>Input_Validation!$R$3:$R$7</xm:f>
          </x14:formula1>
          <xm:sqref>B6</xm:sqref>
        </x14:dataValidation>
        <x14:dataValidation type="list" allowBlank="1" showInputMessage="1" showErrorMessage="1" promptTitle="Polarity" prompt="Polarity of the ionization for the submitted compounds (one ionization polarity per submission)." xr:uid="{B96CF27B-76C7-48D5-B1CE-88F237BD9EA8}">
          <x14:formula1>
            <xm:f>Input_Validation!$S$3:$S$4</xm:f>
          </x14:formula1>
          <xm:sqref>B7</xm:sqref>
        </x14:dataValidation>
        <x14:dataValidation type="list" allowBlank="1" showInputMessage="1" showErrorMessage="1" promptTitle="Ionization Voltage/Current Units" prompt="Units for the above-noted ionization voltage or current." xr:uid="{FA1DCAB9-2C95-4E1D-B0DE-FC46B51CC59D}">
          <x14:formula1>
            <xm:f>Input_Validation!$T$3:$T$7</xm:f>
          </x14:formula1>
          <xm:sqref>B9</xm:sqref>
        </x14:dataValidation>
        <x14:dataValidation type="list" allowBlank="1" showInputMessage="1" showErrorMessage="1" promptTitle="First Mass Analyzer" prompt="First mass analyzer in the mass spectrometer." xr:uid="{7847B5DB-A30A-4186-8F12-BAF250A2EE1E}">
          <x14:formula1>
            <xm:f>Input_Validation!$U$3:$U$9</xm:f>
          </x14:formula1>
          <xm:sqref>B10</xm:sqref>
        </x14:dataValidation>
        <x14:dataValidation type="list" allowBlank="1" showInputMessage="1" showErrorMessage="1" promptTitle="Second Mass Analyzer" prompt="Last mass analyzer in the mass spectrometer. Use 'none' if only one mass analyzer was used." xr:uid="{2BB90257-1F88-4090-AF2F-B1FB23B4D1AE}">
          <x14:formula1>
            <xm:f>Input_Validation!$V$3:$V$9</xm:f>
          </x14:formula1>
          <xm:sqref>B11</xm:sqref>
        </x14:dataValidation>
        <x14:dataValidation type="list" allowBlank="1" showInputMessage="1" showErrorMessage="1" promptTitle="Fragmentation Type" prompt="Type of fragmentation (or collisional dissociation) used for the generation of fragments." xr:uid="{C1E43535-5404-484C-9E2D-70988FE0364F}">
          <x14:formula1>
            <xm:f>Input_Validation!$W$3:$W$6</xm:f>
          </x14:formula1>
          <xm:sqref>B12</xm:sqref>
        </x14:dataValidation>
        <x14:dataValidation type="list" allowBlank="1" showInputMessage="1" showErrorMessage="1" promptTitle="Fragmentation Energy Type" prompt="Type of fragmentation/collision energy used for mass spectrometer. If a stepped/ranged collision energy is used, select &quot;Stepped&quot;, all other types select &quot;Fixed&quot;" xr:uid="{744A4BA3-D81C-41DD-9AAF-02394D3FB5C7}">
          <x14:formula1>
            <xm:f>Input_Validation!$X$3:$X$4</xm:f>
          </x14:formula1>
          <xm:sqref>B14</xm:sqref>
        </x14:dataValidation>
        <x14:dataValidation type="list" allowBlank="1" showInputMessage="1" showErrorMessage="1" promptTitle="Fragmentation Energy Units" prompt="Units of the fragmentation/collision energy value above." xr:uid="{CF86D64A-10A8-4A61-9D3E-2610B30292A3}">
          <x14:formula1>
            <xm:f>Input_Validation!$Y$3:$Y$4</xm:f>
          </x14:formula1>
          <xm:sqref>B15</xm:sqref>
        </x14:dataValidation>
        <x14:dataValidation type="list" allowBlank="1" showInputMessage="1" showErrorMessage="1" promptTitle="MS2 Experiment" prompt="Type of fragmentation/MS2 experiment." xr:uid="{24F0BEC9-C6F7-48BD-962A-8B1C62A8E489}">
          <x14:formula1>
            <xm:f>Input_Validation!$Z$3:$Z$6</xm:f>
          </x14:formula1>
          <xm:sqref>B16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56CCF-8BEC-42AF-A631-2EDAB30E3D22}">
  <sheetPr codeName="Sheet6"/>
  <dimension ref="A1:G8"/>
  <sheetViews>
    <sheetView workbookViewId="0">
      <selection activeCell="C7" sqref="C7"/>
    </sheetView>
  </sheetViews>
  <sheetFormatPr defaultRowHeight="15" x14ac:dyDescent="0.25"/>
  <cols>
    <col min="1" max="1" width="28" bestFit="1" customWidth="1"/>
    <col min="2" max="2" width="22.28515625" style="3" bestFit="1" customWidth="1"/>
    <col min="3" max="4" width="22.28515625" style="3" customWidth="1"/>
    <col min="5" max="5" width="14.5703125" customWidth="1"/>
    <col min="7" max="7" width="21.42578125" bestFit="1" customWidth="1"/>
  </cols>
  <sheetData>
    <row r="1" spans="1:7" ht="18.75" x14ac:dyDescent="0.3">
      <c r="A1" s="2" t="s">
        <v>52</v>
      </c>
    </row>
    <row r="2" spans="1:7" x14ac:dyDescent="0.25">
      <c r="A2" s="1" t="s">
        <v>6</v>
      </c>
    </row>
    <row r="3" spans="1:7" x14ac:dyDescent="0.25">
      <c r="A3" s="1" t="s">
        <v>4</v>
      </c>
      <c r="B3" s="4" t="s">
        <v>3</v>
      </c>
      <c r="C3" s="4" t="s">
        <v>241</v>
      </c>
      <c r="D3" s="4"/>
      <c r="E3" s="1" t="s">
        <v>227</v>
      </c>
    </row>
    <row r="4" spans="1:7" x14ac:dyDescent="0.25">
      <c r="A4" t="s">
        <v>240</v>
      </c>
      <c r="B4" s="13"/>
      <c r="C4" s="23"/>
      <c r="E4" t="s">
        <v>51</v>
      </c>
      <c r="G4" s="16" t="s">
        <v>254</v>
      </c>
    </row>
    <row r="5" spans="1:7" x14ac:dyDescent="0.25">
      <c r="A5" t="s">
        <v>47</v>
      </c>
      <c r="B5" s="13"/>
      <c r="C5" s="23"/>
      <c r="E5" t="s">
        <v>51</v>
      </c>
    </row>
    <row r="6" spans="1:7" x14ac:dyDescent="0.25">
      <c r="A6" t="s">
        <v>48</v>
      </c>
      <c r="B6" s="13"/>
      <c r="C6" s="23"/>
      <c r="E6" t="s">
        <v>51</v>
      </c>
    </row>
    <row r="7" spans="1:7" x14ac:dyDescent="0.25">
      <c r="A7" t="s">
        <v>49</v>
      </c>
      <c r="B7" s="13"/>
      <c r="C7" s="23"/>
      <c r="E7" t="s">
        <v>51</v>
      </c>
    </row>
    <row r="8" spans="1:7" x14ac:dyDescent="0.25">
      <c r="A8" t="s">
        <v>50</v>
      </c>
      <c r="B8" s="13"/>
      <c r="C8" s="23"/>
      <c r="E8" t="s">
        <v>51</v>
      </c>
    </row>
  </sheetData>
  <sheetProtection sheet="1" objects="1" scenarios="1"/>
  <protectedRanges>
    <protectedRange sqref="B4:C8" name="qc method"/>
  </protectedRanges>
  <dataValidations count="6">
    <dataValidation allowBlank="1" showErrorMessage="1" promptTitle="Was a QA/QC Method Used" sqref="A4" xr:uid="{6CF38FE4-4E13-45FB-B75F-651CB4793E63}"/>
    <dataValidation allowBlank="1" showErrorMessage="1" promptTitle="Mass Analyzer Calibration" sqref="A5" xr:uid="{72AFA927-4FA2-44F9-8EE1-CBA6910866F1}"/>
    <dataValidation allowBlank="1" showErrorMessage="1" promptTitle="External Standard Verification" sqref="A6" xr:uid="{2D0E0E0D-95B9-45DF-AB5B-1F72E27F94CC}"/>
    <dataValidation allowBlank="1" showErrorMessage="1" promptTitle="Internal Standard Verification" sqref="A7" xr:uid="{64AC82E4-BA1F-4A71-A37A-7FBE79775A7B}"/>
    <dataValidation allowBlank="1" showErrorMessage="1" promptTitle="Matrix Standard Verication" sqref="A8" xr:uid="{D2B87325-E95C-44D8-BBD6-6046AB2F37EB}"/>
    <dataValidation allowBlank="1" showInputMessage="1" showErrorMessage="1" promptTitle="Source of Method" prompt="If you have documentation for the QC method described to the right, put the DOI (if published), enter &quot;internal&quot; if not publicly available. Leave blank if there is no documentation." sqref="C4:C8" xr:uid="{2A98634C-0FE9-4508-BCE5-4DF629ACDF55}"/>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6" r:id="rId3" name="Button 2">
              <controlPr defaultSize="0" print="0" autoFill="0" autoPict="0" macro="[0]!sample_QC_next">
                <anchor moveWithCells="1" sizeWithCells="1">
                  <from>
                    <xdr:col>6</xdr:col>
                    <xdr:colOff>0</xdr:colOff>
                    <xdr:row>6</xdr:row>
                    <xdr:rowOff>9525</xdr:rowOff>
                  </from>
                  <to>
                    <xdr:col>7</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promptTitle="Was a QA/QC Method Used" prompt="During the collection of the submitted data, did the user apply a quality assurance or quality control protocol?" xr:uid="{18F45463-47F7-41D8-857F-361B972F7D61}">
          <x14:formula1>
            <xm:f>Input_Validation!$AA$3:$AA$4</xm:f>
          </x14:formula1>
          <xm:sqref>B4</xm:sqref>
        </x14:dataValidation>
        <x14:dataValidation type="list" allowBlank="1" showInputMessage="1" showErrorMessage="1" promptTitle="Mass Analyzer Calibration" prompt="Was the mass analyzer (quadrupole, orbitrap, time-of-flight, ion trap, etc.) calibrated and within performance requirements prior to analysis?" xr:uid="{8545B255-3183-4BB1-A00A-5AD931CF9D08}">
          <x14:formula1>
            <xm:f>Input_Validation!$AB$3:$AB$4</xm:f>
          </x14:formula1>
          <xm:sqref>B5</xm:sqref>
        </x14:dataValidation>
        <x14:dataValidation type="list" allowBlank="1" showInputMessage="1" showErrorMessage="1" promptTitle="External Standard Verification" prompt="Was the performance of the method verified using chemical standards spiked in a blank solvent (non-matrix) solution?" xr:uid="{1B8B66A9-E965-4780-82BC-12E3FBC82362}">
          <x14:formula1>
            <xm:f>Input_Validation!$AC$3:$AC$4</xm:f>
          </x14:formula1>
          <xm:sqref>B6</xm:sqref>
        </x14:dataValidation>
        <x14:dataValidation type="list" allowBlank="1" showInputMessage="1" showErrorMessage="1" promptTitle="Internal Standard Verification" prompt="Was the performance of the method verified using chemical standards spiked into the sample solutions?" xr:uid="{A95D0DA7-6F5A-4D47-ACE4-D4ADA2F3E6D3}">
          <x14:formula1>
            <xm:f>Input_Validation!$AD$3:$AD$4</xm:f>
          </x14:formula1>
          <xm:sqref>B7</xm:sqref>
        </x14:dataValidation>
        <x14:dataValidation type="list" allowBlank="1" showInputMessage="1" showErrorMessage="1" promptTitle="Matrix Standard Verification" prompt="Was the performance of the method verified using matrix-matched solution containing known chemicals (not spiked)?" xr:uid="{05AB3586-119A-4673-99C0-2E4752D019C3}">
          <x14:formula1>
            <xm:f>Input_Validation!$AE$3:$AE$4</xm:f>
          </x14:formula1>
          <xm:sqref>B8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F2DED-D957-4D80-BC4C-2B28DBD82358}">
  <sheetPr codeName="Sheet7"/>
  <dimension ref="A1:H39"/>
  <sheetViews>
    <sheetView workbookViewId="0">
      <selection activeCell="H4" sqref="H4"/>
    </sheetView>
  </sheetViews>
  <sheetFormatPr defaultRowHeight="15" x14ac:dyDescent="0.25"/>
  <cols>
    <col min="1" max="1" width="24" bestFit="1" customWidth="1"/>
    <col min="2" max="2" width="16.85546875" customWidth="1"/>
    <col min="3" max="3" width="8.85546875" bestFit="1" customWidth="1"/>
    <col min="4" max="4" width="9" bestFit="1" customWidth="1"/>
    <col min="5" max="5" width="6" bestFit="1" customWidth="1"/>
    <col min="6" max="6" width="16.5703125" bestFit="1" customWidth="1"/>
    <col min="7" max="7" width="14.85546875" bestFit="1" customWidth="1"/>
    <col min="8" max="8" width="26.7109375" customWidth="1"/>
  </cols>
  <sheetData>
    <row r="1" spans="1:8" ht="18.75" x14ac:dyDescent="0.3">
      <c r="A1" s="2" t="s">
        <v>30</v>
      </c>
      <c r="B1" s="9"/>
      <c r="C1" s="9"/>
      <c r="D1" s="25" t="s">
        <v>256</v>
      </c>
      <c r="E1" s="26"/>
      <c r="F1" s="27"/>
    </row>
    <row r="2" spans="1:8" x14ac:dyDescent="0.25">
      <c r="A2" s="1" t="s">
        <v>6</v>
      </c>
      <c r="B2" s="9"/>
      <c r="C2" s="9"/>
    </row>
    <row r="3" spans="1:8" x14ac:dyDescent="0.25">
      <c r="A3" s="5" t="s">
        <v>62</v>
      </c>
      <c r="B3" s="8" t="s">
        <v>181</v>
      </c>
      <c r="C3" s="5" t="s">
        <v>183</v>
      </c>
      <c r="D3" s="5" t="s">
        <v>63</v>
      </c>
      <c r="E3" s="5" t="s">
        <v>64</v>
      </c>
      <c r="F3" s="5" t="s">
        <v>65</v>
      </c>
      <c r="G3" s="5" t="s">
        <v>66</v>
      </c>
      <c r="H3" s="8" t="s">
        <v>261</v>
      </c>
    </row>
    <row r="4" spans="1:8" x14ac:dyDescent="0.25">
      <c r="A4" s="10"/>
      <c r="D4" s="10"/>
      <c r="E4" s="10"/>
      <c r="F4" s="10"/>
      <c r="G4" s="10"/>
      <c r="H4" s="10"/>
    </row>
    <row r="5" spans="1:8" x14ac:dyDescent="0.25">
      <c r="A5" s="10"/>
      <c r="D5" s="10"/>
      <c r="E5" s="10"/>
      <c r="F5" s="10"/>
      <c r="G5" s="10"/>
      <c r="H5" s="10"/>
    </row>
    <row r="6" spans="1:8" x14ac:dyDescent="0.25">
      <c r="A6" s="10"/>
      <c r="D6" s="10"/>
      <c r="E6" s="10"/>
      <c r="F6" s="10"/>
      <c r="G6" s="10"/>
      <c r="H6" s="10"/>
    </row>
    <row r="7" spans="1:8" x14ac:dyDescent="0.25">
      <c r="H7" s="10"/>
    </row>
    <row r="9" spans="1:8" x14ac:dyDescent="0.25">
      <c r="H9" s="10"/>
    </row>
    <row r="10" spans="1:8" x14ac:dyDescent="0.25">
      <c r="H10" s="10"/>
    </row>
    <row r="12" spans="1:8" x14ac:dyDescent="0.25">
      <c r="E12" s="10"/>
      <c r="F12" s="10"/>
      <c r="G12" s="10"/>
      <c r="H12" s="10"/>
    </row>
    <row r="14" spans="1:8" x14ac:dyDescent="0.25">
      <c r="H14" s="10"/>
    </row>
    <row r="15" spans="1:8" x14ac:dyDescent="0.25">
      <c r="H15" s="10"/>
    </row>
    <row r="16" spans="1:8" x14ac:dyDescent="0.25">
      <c r="A16" s="10"/>
      <c r="D16" s="10"/>
      <c r="E16" s="10"/>
      <c r="F16" s="10"/>
      <c r="G16" s="10"/>
      <c r="H16" s="10"/>
    </row>
    <row r="17" spans="1:8" x14ac:dyDescent="0.25">
      <c r="A17" s="10"/>
      <c r="D17" s="10"/>
      <c r="E17" s="10"/>
      <c r="F17" s="10"/>
      <c r="G17" s="10"/>
      <c r="H17" s="10"/>
    </row>
    <row r="18" spans="1:8" x14ac:dyDescent="0.25">
      <c r="A18" s="10"/>
      <c r="D18" s="10"/>
      <c r="E18" s="10"/>
      <c r="F18" s="10"/>
      <c r="G18" s="10"/>
      <c r="H18" s="10"/>
    </row>
    <row r="19" spans="1:8" x14ac:dyDescent="0.25">
      <c r="A19" s="10"/>
      <c r="D19" s="10"/>
      <c r="E19" s="10"/>
      <c r="F19" s="10"/>
      <c r="G19" s="10"/>
      <c r="H19" s="10"/>
    </row>
    <row r="20" spans="1:8" x14ac:dyDescent="0.25">
      <c r="A20" s="10"/>
      <c r="D20" s="10"/>
      <c r="E20" s="10"/>
      <c r="F20" s="10"/>
      <c r="G20" s="10"/>
      <c r="H20" s="10"/>
    </row>
    <row r="21" spans="1:8" x14ac:dyDescent="0.25">
      <c r="A21" s="10"/>
      <c r="D21" s="10"/>
      <c r="E21" s="10"/>
      <c r="F21" s="10"/>
      <c r="G21" s="10"/>
      <c r="H21" s="10"/>
    </row>
    <row r="22" spans="1:8" x14ac:dyDescent="0.25">
      <c r="A22" s="10"/>
      <c r="D22" s="10"/>
      <c r="E22" s="10"/>
      <c r="F22" s="10"/>
      <c r="G22" s="10"/>
      <c r="H22" s="10"/>
    </row>
    <row r="23" spans="1:8" x14ac:dyDescent="0.25">
      <c r="A23" s="10"/>
      <c r="D23" s="10"/>
      <c r="E23" s="10"/>
      <c r="F23" s="10"/>
      <c r="G23" s="10"/>
      <c r="H23" s="10"/>
    </row>
    <row r="24" spans="1:8" x14ac:dyDescent="0.25">
      <c r="A24" s="10"/>
      <c r="D24" s="10"/>
      <c r="E24" s="10"/>
      <c r="F24" s="10"/>
      <c r="G24" s="10"/>
      <c r="H24" s="10"/>
    </row>
    <row r="25" spans="1:8" x14ac:dyDescent="0.25">
      <c r="A25" s="10"/>
      <c r="D25" s="10"/>
      <c r="E25" s="10"/>
      <c r="F25" s="10"/>
      <c r="G25" s="10"/>
      <c r="H25" s="10"/>
    </row>
    <row r="26" spans="1:8" x14ac:dyDescent="0.25">
      <c r="A26" s="10"/>
      <c r="D26" s="10"/>
      <c r="E26" s="10"/>
      <c r="F26" s="10"/>
      <c r="G26" s="10"/>
      <c r="H26" s="10"/>
    </row>
    <row r="27" spans="1:8" x14ac:dyDescent="0.25">
      <c r="A27" s="10"/>
      <c r="D27" s="10"/>
      <c r="E27" s="10"/>
      <c r="F27" s="10"/>
      <c r="G27" s="10"/>
      <c r="H27" s="10"/>
    </row>
    <row r="28" spans="1:8" x14ac:dyDescent="0.25">
      <c r="A28" s="10"/>
      <c r="D28" s="10"/>
      <c r="E28" s="10"/>
      <c r="F28" s="10"/>
      <c r="G28" s="10"/>
      <c r="H28" s="10"/>
    </row>
    <row r="29" spans="1:8" x14ac:dyDescent="0.25">
      <c r="A29" s="10"/>
      <c r="D29" s="10"/>
      <c r="E29" s="10"/>
      <c r="F29" s="10"/>
      <c r="G29" s="10"/>
      <c r="H29" s="10"/>
    </row>
    <row r="30" spans="1:8" x14ac:dyDescent="0.25">
      <c r="A30" s="10"/>
      <c r="D30" s="10"/>
      <c r="E30" s="10"/>
      <c r="F30" s="10"/>
      <c r="G30" s="10"/>
      <c r="H30" s="10"/>
    </row>
    <row r="31" spans="1:8" x14ac:dyDescent="0.25">
      <c r="A31" s="10"/>
      <c r="D31" s="10"/>
      <c r="E31" s="10"/>
      <c r="F31" s="10"/>
      <c r="G31" s="10"/>
      <c r="H31" s="10"/>
    </row>
    <row r="39" spans="1:8" x14ac:dyDescent="0.25">
      <c r="A39" s="10"/>
      <c r="D39" s="10"/>
      <c r="E39" s="10"/>
      <c r="F39" s="10"/>
      <c r="G39" s="10"/>
      <c r="H39" s="10"/>
    </row>
  </sheetData>
  <sheetProtection sheet="1" objects="1" scenarios="1"/>
  <protectedRanges>
    <protectedRange sqref="A4:H1048576" name="peaks"/>
  </protectedRanges>
  <mergeCells count="1">
    <mergeCell ref="D1:F1"/>
  </mergeCells>
  <dataValidations xWindow="344" yWindow="297" count="8">
    <dataValidation allowBlank="1" showInputMessage="1" showErrorMessage="1" promptTitle="name" prompt="User input name for compound, unrestricted." sqref="A3" xr:uid="{E53FD2EE-6C59-41BA-A662-81D4D3D76D7C}"/>
    <dataValidation allowBlank="1" showInputMessage="1" showErrorMessage="1" promptTitle="identifier" prompt="The ID number of the identified compound from the PFAS suspect list (https://data.nist.gov/od/id/mds2-2387)" sqref="B3" xr:uid="{A993DF2C-3443-4049-B886-DFDBF942AE07}"/>
    <dataValidation allowBlank="1" showInputMessage="1" showErrorMessage="1" promptTitle="m/z" prompt="measured m/z for the precursor/molecular ion of the compound" sqref="D3" xr:uid="{237BD59A-77E2-4107-A9A4-FFC8B6A7DD15}"/>
    <dataValidation allowBlank="1" showInputMessage="1" showErrorMessage="1" promptTitle="retention time" prompt="chromatographic retention time of the peak apex" sqref="E3" xr:uid="{3022F5C0-FB4D-4E21-976E-B1C4B4CABEE7}"/>
    <dataValidation allowBlank="1" showInputMessage="1" showErrorMessage="1" promptTitle="start time of peak" prompt="retention time of the start of the chromatographic peak (left)_x000a_" sqref="F3" xr:uid="{2464E5AD-262F-46F6-ABA1-75CC3839401A}"/>
    <dataValidation allowBlank="1" showInputMessage="1" showErrorMessage="1" promptTitle="end time of peak" prompt="retention time of the end of the chromatographic peak (right)" sqref="G3" xr:uid="{D0663693-206C-4AF1-AF25-36401A7CEBA3}"/>
    <dataValidation allowBlank="1" showInputMessage="1" showErrorMessage="1" promptTitle="Ion State" prompt="The ion state of the measured precursor/molecular ion associated with the entered compound identity and m/z value." sqref="C3" xr:uid="{B74C3909-9209-4A60-A7A1-0AFC7C3DF42C}"/>
    <dataValidation allowBlank="1" showInputMessage="1" showErrorMessage="1" promptTitle="Identification Confidence" prompt="The confidence level of the identification, based on the Charbonnet et al (DOI 10.1021/acs.estlett.2c00206)" sqref="H3" xr:uid="{2A92C2A7-746E-4B6F-9C0F-30F03CC2DAA4}"/>
  </dataValidations>
  <hyperlinks>
    <hyperlink ref="B3" r:id="rId1" display="identifier" xr:uid="{EA405BE7-5715-47D3-946C-EB2585244009}"/>
    <hyperlink ref="H3" r:id="rId2" xr:uid="{78DA67C3-8153-4152-B89C-6A5ABEE17290}"/>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7411" r:id="rId6" name="Button 3">
              <controlPr defaultSize="0" print="0" autoFill="0" autoPict="0" macro="[0]!sample_peaks_next">
                <anchor moveWithCells="1" sizeWithCells="1">
                  <from>
                    <xdr:col>6</xdr:col>
                    <xdr:colOff>66675</xdr:colOff>
                    <xdr:row>0</xdr:row>
                    <xdr:rowOff>38100</xdr:rowOff>
                  </from>
                  <to>
                    <xdr:col>7</xdr:col>
                    <xdr:colOff>504825</xdr:colOff>
                    <xdr:row>1</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344" yWindow="297" count="2">
        <x14:dataValidation type="list" allowBlank="1" showInputMessage="1" showErrorMessage="1" promptTitle="Ion State" prompt="The ion state of the measured precursor/molecular ion associated with the entered compound identity and m/z value." xr:uid="{8A44AE08-4553-4B34-9DF6-AECAC15FDF52}">
          <x14:formula1>
            <xm:f>Input_Validation!$AF$3:$AF$12</xm:f>
          </x14:formula1>
          <xm:sqref>C4:C1048576</xm:sqref>
        </x14:dataValidation>
        <x14:dataValidation type="list" allowBlank="1" showInputMessage="1" showErrorMessage="1" promptTitle="confidence" prompt="The confidence level of the identification, based on the Charbonnet et al (DOI 10.1021/acs.estlett.2c00206)" xr:uid="{B2F32270-BC1B-410D-9C89-BA8BF2ACDD2B}">
          <x14:formula1>
            <xm:f>Input_Validation!$AG$3:$AG$15</xm:f>
          </x14:formula1>
          <xm:sqref>H4:H1048576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QC_Check</vt:lpstr>
      <vt:lpstr>Run</vt:lpstr>
      <vt:lpstr>Input_Validation</vt:lpstr>
      <vt:lpstr>Import</vt:lpstr>
      <vt:lpstr>Sample_Input</vt:lpstr>
      <vt:lpstr>Chromatography_Input</vt:lpstr>
      <vt:lpstr>Mass Spectrometry_Input</vt:lpstr>
      <vt:lpstr>QC Method_Input</vt:lpstr>
      <vt:lpstr>Peaks_Input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Place, Benjamin J. (Fed)</dc:creator>
  <cp:lastModifiedBy>Place, Benjamin J. (Fed)</cp:lastModifiedBy>
  <dcterms:created xsi:type="dcterms:W3CDTF">2021-05-27T17:33:27Z</dcterms:created>
  <dcterms:modified xsi:type="dcterms:W3CDTF">2023-01-23T21:25:58Z</dcterms:modified>
</cp:coreProperties>
</file>