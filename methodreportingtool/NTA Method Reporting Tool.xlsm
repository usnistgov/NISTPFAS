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src\methodreportingtool\"/>
    </mc:Choice>
  </mc:AlternateContent>
  <xr:revisionPtr revIDLastSave="0" documentId="8_{3FE30E28-15B1-4E37-A6C2-A9A1A4302D13}" xr6:coauthVersionLast="46" xr6:coauthVersionMax="46" xr10:uidLastSave="{00000000-0000-0000-0000-000000000000}"/>
  <bookViews>
    <workbookView xWindow="-28920" yWindow="-120" windowWidth="29040" windowHeight="16440" xr2:uid="{90B8E717-CD35-4EBB-A047-3C52215825F8}"/>
  </bookViews>
  <sheets>
    <sheet name="Run" sheetId="10" r:id="rId1"/>
    <sheet name="Input_Validation" sheetId="11" state="hidden" r:id="rId2"/>
    <sheet name="Sample_Input" sheetId="5" r:id="rId3"/>
    <sheet name="Import" sheetId="12" state="hidden" r:id="rId4"/>
    <sheet name="Chromatography_Input" sheetId="1" r:id="rId5"/>
    <sheet name="Mass Spectrometry_Input" sheetId="3" r:id="rId6"/>
    <sheet name="QC Method_Input" sheetId="4" r:id="rId7"/>
    <sheet name="Peaks_Input" sheetId="8" r:id="rId8"/>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10" l="1"/>
  <c r="C9" i="10"/>
  <c r="C6" i="10" l="1"/>
  <c r="C7" i="10" l="1"/>
  <c r="C5" i="10" l="1"/>
</calcChain>
</file>

<file path=xl/sharedStrings.xml><?xml version="1.0" encoding="utf-8"?>
<sst xmlns="http://schemas.openxmlformats.org/spreadsheetml/2006/main" count="628" uniqueCount="318">
  <si>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</si>
  <si>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</si>
  <si>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</si>
  <si>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</si>
  <si>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</si>
  <si>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</si>
  <si>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</si>
  <si>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</si>
  <si>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</si>
  <si>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</si>
  <si>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</si>
  <si>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</si>
  <si>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</si>
  <si>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</si>
  <si>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</si>
  <si>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</si>
  <si>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</si>
  <si>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</si>
  <si>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</si>
  <si>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</si>
  <si>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</si>
  <si>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</si>
  <si>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</si>
  <si>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</si>
  <si>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</si>
  <si>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</si>
  <si>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</si>
  <si>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</si>
  <si>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</si>
  <si>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</si>
  <si>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</si>
  <si>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</si>
  <si>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</si>
  <si>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electrospray ionization</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</si>
  <si>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</si>
  <si>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</si>
  <si>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</si>
  <si>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</si>
  <si>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</si>
  <si>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</si>
  <si>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</si>
  <si>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</si>
  <si>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</si>
  <si>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</si>
  <si>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</si>
  <si>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</si>
  <si>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</si>
  <si>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</si>
  <si>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</si>
  <si>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</si>
  <si>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</si>
  <si>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</si>
  <si>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</si>
  <si>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</si>
  <si>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</si>
  <si>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</si>
  <si>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</si>
  <si>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</si>
  <si>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</si>
  <si>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</si>
  <si>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</si>
  <si>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</si>
  <si>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</si>
  <si>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</si>
  <si>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</si>
  <si>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</si>
  <si>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</si>
  <si>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</si>
  <si>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</si>
  <si>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</si>
  <si>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</si>
  <si>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</si>
  <si>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</si>
  <si>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</si>
  <si>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</si>
  <si>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</si>
  <si>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</si>
  <si>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</si>
  <si>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</si>
  <si>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</si>
  <si>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</si>
  <si>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</si>
  <si>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</si>
  <si>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</si>
  <si>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</si>
  <si>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</si>
  <si>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</si>
  <si>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</si>
  <si>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</si>
  <si>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</si>
  <si>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</si>
  <si>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</si>
  <si>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</si>
  <si>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</si>
  <si>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</si>
  <si>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</si>
  <si>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</si>
  <si>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</si>
  <si>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</si>
  <si>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</si>
  <si>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</si>
  <si>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</si>
  <si>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</si>
  <si>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</si>
  <si>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</si>
  <si>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</si>
  <si>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</si>
  <si>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</si>
  <si>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</si>
  <si>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</si>
  <si>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</si>
  <si>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</si>
  <si>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</si>
  <si>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</si>
  <si>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</si>
  <si>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</si>
  <si>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</si>
  <si>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</si>
  <si>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</si>
  <si>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</si>
  <si>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</si>
  <si>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</si>
  <si>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</si>
  <si>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</si>
  <si>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</si>
  <si>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</si>
  <si>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</si>
  <si>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</si>
  <si>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</si>
  <si>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</si>
  <si>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</si>
  <si>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</si>
  <si>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</si>
  <si>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</si>
  <si>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</si>
  <si>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</si>
  <si>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</si>
  <si>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</si>
  <si>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</si>
  <si>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</si>
  <si>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</si>
  <si>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</si>
  <si>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</si>
  <si>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</si>
  <si>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</si>
  <si>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</si>
  <si>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</si>
  <si>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</si>
  <si>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</si>
  <si>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</si>
  <si>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</si>
  <si>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</si>
  <si>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</si>
  <si>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</si>
  <si>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</si>
  <si>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</si>
  <si>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</si>
  <si>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</si>
  <si>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</si>
  <si>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</si>
  <si>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</si>
  <si>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</si>
  <si>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</si>
  <si>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</si>
  <si>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</si>
  <si>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</si>
  <si>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</si>
  <si>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</si>
  <si>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</si>
  <si>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</si>
  <si>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</si>
  <si>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</si>
  <si>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</si>
  <si>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</si>
  <si>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</si>
  <si>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</si>
  <si>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</si>
  <si>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</si>
  <si>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</si>
  <si>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</si>
  <si>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</si>
  <si>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</si>
  <si>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</si>
  <si>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</si>
  <si>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</si>
  <si>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</si>
  <si>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</si>
  <si>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</si>
  <si>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</si>
  <si>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</si>
  <si>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</si>
  <si>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</si>
  <si>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</si>
  <si>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Submitted by</t>
  </si>
  <si>
    <t>Ion State</t>
  </si>
  <si>
    <t>[M+H]+</t>
  </si>
  <si>
    <t>[M]+</t>
  </si>
  <si>
    <t>[M+Na]+</t>
  </si>
  <si>
    <t>[M+K]+</t>
  </si>
  <si>
    <t>[M+NH4]+</t>
  </si>
  <si>
    <t>[M-H2O+H]+</t>
  </si>
  <si>
    <t>[M]-</t>
  </si>
  <si>
    <t>[M-FCO2H]-</t>
  </si>
  <si>
    <t>[2M-H]-</t>
  </si>
  <si>
    <t>[M-H]-</t>
  </si>
  <si>
    <t>Verified?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</si>
  <si>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</si>
  <si>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</si>
  <si>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</si>
  <si>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</si>
  <si>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</si>
  <si>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</si>
  <si>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</si>
  <si>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</si>
  <si>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</si>
  <si>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</si>
  <si>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</si>
  <si>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</si>
  <si>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</si>
  <si>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</si>
  <si>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</si>
  <si>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</si>
  <si>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</si>
  <si>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</si>
  <si>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</si>
  <si>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</si>
  <si>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</si>
  <si>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</si>
  <si>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</si>
  <si>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</si>
  <si>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</si>
  <si>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</si>
  <si>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</si>
  <si>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</si>
  <si>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</si>
  <si>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</si>
  <si>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</si>
  <si>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</si>
  <si>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</si>
  <si>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</si>
  <si>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</si>
  <si>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</si>
  <si>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</si>
  <si>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</si>
  <si>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</si>
  <si>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source</t>
  </si>
  <si>
    <t>ionization</t>
  </si>
  <si>
    <t>voltage</t>
  </si>
  <si>
    <t>ce_value</t>
  </si>
  <si>
    <t>ce_desc</t>
  </si>
  <si>
    <t>ce_units</t>
  </si>
  <si>
    <t>MS Method Source</t>
  </si>
  <si>
    <t>Chromatography Method Source</t>
  </si>
  <si>
    <t>Version 1.1 updated 10/6/2021 BJP</t>
  </si>
  <si>
    <t>QC Method Used</t>
  </si>
  <si>
    <t>Documentation</t>
  </si>
  <si>
    <t>sample</t>
  </si>
  <si>
    <t xml:space="preserve"> </t>
  </si>
  <si>
    <t xml:space="preserve"> bjp@nist.gov</t>
  </si>
  <si>
    <t>chromatography</t>
  </si>
  <si>
    <t xml:space="preserve"> Liquid Chromatography</t>
  </si>
  <si>
    <t xml:space="preserve"> water</t>
  </si>
  <si>
    <t xml:space="preserve"> ammonium acetate</t>
  </si>
  <si>
    <t xml:space="preserve"> methanol</t>
  </si>
  <si>
    <t xml:space="preserve"> none</t>
  </si>
  <si>
    <t xml:space="preserve"> Agilent Technologies</t>
  </si>
  <si>
    <t>massspectrometry</t>
  </si>
  <si>
    <t xml:space="preserve"> electrospray ionization</t>
  </si>
  <si>
    <t xml:space="preserve"> V</t>
  </si>
  <si>
    <t xml:space="preserve"> quadrupole</t>
  </si>
  <si>
    <t xml:space="preserve"> fixed</t>
  </si>
  <si>
    <t xml:space="preserve"> DDA</t>
  </si>
  <si>
    <t>qcmethod</t>
  </si>
  <si>
    <t>value</t>
  </si>
  <si>
    <t xml:space="preserve"> true</t>
  </si>
  <si>
    <t xml:space="preserve"> Mass Analyzer Calibration</t>
  </si>
  <si>
    <t xml:space="preserve"> External Standard Verification</t>
  </si>
  <si>
    <t xml:space="preserve"> Internal Standard Verification</t>
  </si>
  <si>
    <t xml:space="preserve"> false</t>
  </si>
  <si>
    <t xml:space="preserve"> Matrix Standard Verification</t>
  </si>
  <si>
    <t>peaks</t>
  </si>
  <si>
    <t>peak</t>
  </si>
  <si>
    <t>count</t>
  </si>
  <si>
    <t>identifier</t>
  </si>
  <si>
    <t>ionstate</t>
  </si>
  <si>
    <t>verified</t>
  </si>
  <si>
    <t>annotation</t>
  </si>
  <si>
    <t>compound</t>
  </si>
  <si>
    <t>fragment</t>
  </si>
  <si>
    <t>fragment_mz</t>
  </si>
  <si>
    <t>fragment_formula</t>
  </si>
  <si>
    <t>fragment_SMILES</t>
  </si>
  <si>
    <t>fragment_radical</t>
  </si>
  <si>
    <t xml:space="preserve"> 092615 AFFF POS 06.mzML</t>
  </si>
  <si>
    <t xml:space="preserve"> 3M 1989 AFFF</t>
  </si>
  <si>
    <t xml:space="preserve"> aqueous film-forming foam (AFFF)</t>
  </si>
  <si>
    <t xml:space="preserve"> Shimadzu Corporation</t>
  </si>
  <si>
    <t xml:space="preserve"> LC-30AD</t>
  </si>
  <si>
    <t xml:space="preserve"> acetonitrile</t>
  </si>
  <si>
    <t xml:space="preserve"> Zorbax Eclipse Plus C18</t>
  </si>
  <si>
    <t xml:space="preserve"> octadecyl (C18)</t>
  </si>
  <si>
    <t xml:space="preserve"> Zorbax Propylamine Zorbax Silica</t>
  </si>
  <si>
    <t xml:space="preserve"> mixed-phase</t>
  </si>
  <si>
    <t xml:space="preserve"> SCIEX</t>
  </si>
  <si>
    <t xml:space="preserve"> TripleTOF 5600+</t>
  </si>
  <si>
    <t xml:space="preserve"> positive</t>
  </si>
  <si>
    <t xml:space="preserve"> time-of-flight</t>
  </si>
  <si>
    <t xml:space="preserve"> CID</t>
  </si>
  <si>
    <t>qcused</t>
  </si>
  <si>
    <t xml:space="preserve"> 1N-hydroxyethyldimethylammoniopropyl perfluorohexanesulfonamide</t>
  </si>
  <si>
    <t xml:space="preserve"> M+</t>
  </si>
  <si>
    <t xml:space="preserve"> 2N-hydroxyethyldimethylammoniopropyl perfluorohexanesulfonamidoethanol</t>
  </si>
  <si>
    <t xml:space="preserve"> 3N-Trimethylammoniopropyl perfluorohexane sulfonamide</t>
  </si>
  <si>
    <t xml:space="preserve"> C3H8N</t>
  </si>
  <si>
    <t xml:space="preserve"> C4H12NO</t>
  </si>
  <si>
    <t xml:space="preserve"> C4H8N</t>
  </si>
  <si>
    <t xml:space="preserve"> C8H19N2O</t>
  </si>
  <si>
    <t xml:space="preserve"> C3H10N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</si>
</sst>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7">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xf numFmtId="0" fontId="0" fillId="0" borderId="0" xfId="0" applyAlignment="1">
      <alignment wrapText="1"/>
    </xf>
    <xf numFmtId="0" fontId="6" fillId="0" borderId="0" xfId="1" applyAlignment="1">
      <alignment horizontal="left"/>
    </xf>
    <xf numFmtId="0" fontId="7" fillId="0" borderId="0" xfId="0" applyFont="1"/>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JSON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xdr:colOff>
          <xdr:row>21</xdr:row>
          <xdr:rowOff>123825</xdr:rowOff>
        </xdr:from>
        <xdr:to>
          <xdr:col>1</xdr:col>
          <xdr:colOff>1190625</xdr:colOff>
          <xdr:row>23</xdr:row>
          <xdr:rowOff>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0"/>
  <sheetViews>
    <sheetView tabSelected="1" workbookViewId="0">
      <selection activeCell="E28" sqref="E28"/>
    </sheetView>
  </sheetViews>
  <sheetFormatPr defaultRowHeight="15" x14ac:dyDescent="0.25"/>
  <cols>
    <col min="2" max="2" width="30.140625" customWidth="1"/>
  </cols>
  <sheetData>
    <row r="1" spans="1:3" ht="21" x14ac:dyDescent="0.35">
      <c r="A1" s="7" t="s">
        <v>107</v>
      </c>
    </row>
    <row r="3" spans="1:3" x14ac:dyDescent="0.25">
      <c r="A3" s="1" t="s">
        <v>97</v>
      </c>
    </row>
    <row r="4" spans="1:3" x14ac:dyDescent="0.25">
      <c r="B4" s="1" t="s">
        <v>103</v>
      </c>
      <c r="C4" s="1" t="s">
        <v>104</v>
      </c>
    </row>
    <row r="5" spans="1:3" x14ac:dyDescent="0.25">
      <c r="B5" s="8" t="s">
        <v>98</v>
      </c>
      <c r="C5" t="b">
        <f>IF(COUNTA(Sample_Input!B4:B7)=4, TRUE, FALSE)</f>
        <v>0</v>
      </c>
    </row>
    <row r="6" spans="1:3" x14ac:dyDescent="0.25">
      <c r="B6" s="8" t="s">
        <v>99</v>
      </c>
      <c r="C6" t="b">
        <f>IF(COUNTA(Chromatography_Input!B4:B22,Chromatography_Input!B24)=20,TRUE,FALSE)</f>
        <v>0</v>
      </c>
    </row>
    <row r="7" spans="1:3" x14ac:dyDescent="0.25">
      <c r="B7" s="8" t="s">
        <v>100</v>
      </c>
      <c r="C7" t="b">
        <f>IF(COUNTA('Mass Spectrometry_Input'!B4:B20)&gt;13, TRUE, FALSE)</f>
        <v>0</v>
      </c>
    </row>
    <row r="8" spans="1:3" x14ac:dyDescent="0.25">
      <c r="B8" s="8" t="s">
        <v>101</v>
      </c>
      <c r="C8" t="b">
        <f>IF(COUNTA('QC Method_Input'!B4:B8)=5, TRUE, FALSE)</f>
        <v>0</v>
      </c>
    </row>
    <row r="9" spans="1:3" x14ac:dyDescent="0.25">
      <c r="B9" s="8" t="s">
        <v>102</v>
      </c>
      <c r="C9" t="b">
        <f>AND(COUNTA(Peaks_Input!A4:H1048576)&gt;0, COUNTA(Peaks_Input!A4:H1048576)= COUNTA(Peaks_Input!A4:A1048576)*8)</f>
        <v>0</v>
      </c>
    </row>
    <row r="11" spans="1:3" x14ac:dyDescent="0.25">
      <c r="A11" s="1" t="s">
        <v>129</v>
      </c>
    </row>
    <row r="12" spans="1:3" x14ac:dyDescent="0.25">
      <c r="B12" t="s">
        <v>131</v>
      </c>
      <c r="C12" t="b">
        <v>0</v>
      </c>
    </row>
    <row r="14" spans="1:3" x14ac:dyDescent="0.25">
      <c r="A14" s="1" t="s">
        <v>128</v>
      </c>
    </row>
    <row r="17" spans="1:2" x14ac:dyDescent="0.25">
      <c r="A17" s="1" t="s">
        <v>130</v>
      </c>
    </row>
    <row r="18" spans="1:2" x14ac:dyDescent="0.25">
      <c r="B18" t="s">
        <v>105</v>
      </c>
    </row>
    <row r="20" spans="1:2" x14ac:dyDescent="0.25">
      <c r="A20" s="16" t="s">
        <v>253</v>
      </c>
    </row>
  </sheetData>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1</xdr:col>
                    <xdr:colOff>200025</xdr:colOff>
                    <xdr:row>21</xdr:row>
                    <xdr:rowOff>123825</xdr:rowOff>
                  </from>
                  <to>
                    <xdr:col>1</xdr:col>
                    <xdr:colOff>1190625</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topLeftCell="R1" workbookViewId="0">
      <selection activeCell="Z2" sqref="Z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58</v>
      </c>
      <c r="B1" t="s">
        <v>5</v>
      </c>
      <c r="C1" t="s">
        <v>27</v>
      </c>
      <c r="D1" t="s">
        <v>132</v>
      </c>
      <c r="E1" t="s">
        <v>1</v>
      </c>
      <c r="F1" t="s">
        <v>2</v>
      </c>
      <c r="G1" t="s">
        <v>8</v>
      </c>
      <c r="H1" t="s">
        <v>9</v>
      </c>
      <c r="I1" t="s">
        <v>10</v>
      </c>
      <c r="J1" t="s">
        <v>11</v>
      </c>
      <c r="K1" t="s">
        <v>12</v>
      </c>
      <c r="L1" t="s">
        <v>13</v>
      </c>
      <c r="M1" t="s">
        <v>179</v>
      </c>
      <c r="N1" t="s">
        <v>180</v>
      </c>
      <c r="O1" t="s">
        <v>146</v>
      </c>
      <c r="P1" t="s">
        <v>149</v>
      </c>
      <c r="Q1" t="s">
        <v>31</v>
      </c>
      <c r="R1" t="s">
        <v>32</v>
      </c>
      <c r="S1" t="s">
        <v>34</v>
      </c>
      <c r="T1" t="s">
        <v>37</v>
      </c>
      <c r="U1" t="s">
        <v>40</v>
      </c>
      <c r="V1" t="s">
        <v>43</v>
      </c>
      <c r="W1" t="s">
        <v>186</v>
      </c>
      <c r="X1" t="s">
        <v>188</v>
      </c>
      <c r="Y1" t="s">
        <v>189</v>
      </c>
      <c r="Z1" t="s">
        <v>59</v>
      </c>
      <c r="AA1" t="s">
        <v>106</v>
      </c>
      <c r="AB1" t="s">
        <v>48</v>
      </c>
      <c r="AC1" t="s">
        <v>49</v>
      </c>
      <c r="AD1" t="s">
        <v>50</v>
      </c>
      <c r="AE1" t="s">
        <v>51</v>
      </c>
      <c r="AF1" t="s">
        <v>194</v>
      </c>
    </row>
    <row r="2" spans="1:32" ht="18.75" customHeight="1" x14ac:dyDescent="0.25">
      <c r="A2" t="s">
        <v>207</v>
      </c>
      <c r="B2" t="s">
        <v>208</v>
      </c>
      <c r="C2" t="s">
        <v>209</v>
      </c>
      <c r="D2" t="s">
        <v>210</v>
      </c>
      <c r="E2" t="s">
        <v>211</v>
      </c>
      <c r="F2" t="s">
        <v>212</v>
      </c>
      <c r="G2" t="s">
        <v>213</v>
      </c>
      <c r="H2" t="s">
        <v>214</v>
      </c>
      <c r="I2" t="s">
        <v>215</v>
      </c>
      <c r="J2" t="s">
        <v>216</v>
      </c>
      <c r="K2" t="s">
        <v>217</v>
      </c>
      <c r="L2" t="s">
        <v>218</v>
      </c>
      <c r="M2" t="s">
        <v>219</v>
      </c>
      <c r="N2" t="s">
        <v>220</v>
      </c>
      <c r="O2" t="s">
        <v>221</v>
      </c>
      <c r="P2" t="s">
        <v>222</v>
      </c>
      <c r="Q2" t="s">
        <v>223</v>
      </c>
      <c r="R2" t="s">
        <v>224</v>
      </c>
      <c r="S2" t="s">
        <v>225</v>
      </c>
      <c r="T2" t="s">
        <v>226</v>
      </c>
      <c r="U2" t="s">
        <v>227</v>
      </c>
      <c r="V2" t="s">
        <v>228</v>
      </c>
      <c r="W2" t="s">
        <v>229</v>
      </c>
      <c r="X2" t="s">
        <v>230</v>
      </c>
      <c r="Y2" t="s">
        <v>231</v>
      </c>
      <c r="Z2" s="14" t="s">
        <v>238</v>
      </c>
      <c r="AA2" s="14" t="s">
        <v>233</v>
      </c>
      <c r="AB2" s="14" t="s">
        <v>234</v>
      </c>
      <c r="AC2" s="14" t="s">
        <v>235</v>
      </c>
      <c r="AD2" s="14" t="s">
        <v>236</v>
      </c>
      <c r="AE2" s="14" t="s">
        <v>237</v>
      </c>
      <c r="AF2" t="s">
        <v>232</v>
      </c>
    </row>
    <row r="3" spans="1:32" x14ac:dyDescent="0.25">
      <c r="A3" t="s">
        <v>68</v>
      </c>
      <c r="B3" t="s">
        <v>77</v>
      </c>
      <c r="C3" t="s">
        <v>7</v>
      </c>
      <c r="D3" t="s">
        <v>14</v>
      </c>
      <c r="E3" t="s">
        <v>14</v>
      </c>
      <c r="F3" t="s">
        <v>14</v>
      </c>
      <c r="G3" t="s">
        <v>14</v>
      </c>
      <c r="H3" t="s">
        <v>14</v>
      </c>
      <c r="I3" t="s">
        <v>14</v>
      </c>
      <c r="J3" t="s">
        <v>14</v>
      </c>
      <c r="K3" t="s">
        <v>14</v>
      </c>
      <c r="L3" t="s">
        <v>14</v>
      </c>
      <c r="M3" t="s">
        <v>7</v>
      </c>
      <c r="N3" t="s">
        <v>14</v>
      </c>
      <c r="O3" t="s">
        <v>14</v>
      </c>
      <c r="P3" t="s">
        <v>14</v>
      </c>
      <c r="Q3" t="s">
        <v>7</v>
      </c>
      <c r="R3" t="s">
        <v>33</v>
      </c>
      <c r="S3" t="s">
        <v>112</v>
      </c>
      <c r="T3" t="s">
        <v>38</v>
      </c>
      <c r="U3" t="s">
        <v>14</v>
      </c>
      <c r="V3" t="s">
        <v>14</v>
      </c>
      <c r="W3" t="s">
        <v>46</v>
      </c>
      <c r="X3" t="s">
        <v>126</v>
      </c>
      <c r="Y3" t="s">
        <v>125</v>
      </c>
      <c r="Z3" t="s">
        <v>14</v>
      </c>
      <c r="AA3" t="b">
        <v>1</v>
      </c>
      <c r="AB3" t="b">
        <v>1</v>
      </c>
      <c r="AC3" t="b">
        <v>1</v>
      </c>
      <c r="AD3" t="b">
        <v>1</v>
      </c>
      <c r="AE3" t="b">
        <v>1</v>
      </c>
      <c r="AF3" t="s">
        <v>196</v>
      </c>
    </row>
    <row r="4" spans="1:32" x14ac:dyDescent="0.25">
      <c r="A4" t="s">
        <v>69</v>
      </c>
      <c r="B4" t="s">
        <v>78</v>
      </c>
      <c r="C4" t="s">
        <v>28</v>
      </c>
      <c r="D4" t="s">
        <v>86</v>
      </c>
      <c r="E4" t="s">
        <v>86</v>
      </c>
      <c r="F4" t="s">
        <v>87</v>
      </c>
      <c r="G4" t="s">
        <v>86</v>
      </c>
      <c r="H4" t="s">
        <v>87</v>
      </c>
      <c r="I4" t="s">
        <v>86</v>
      </c>
      <c r="J4" t="s">
        <v>87</v>
      </c>
      <c r="K4" t="s">
        <v>86</v>
      </c>
      <c r="L4" t="s">
        <v>87</v>
      </c>
      <c r="M4" t="s">
        <v>28</v>
      </c>
      <c r="N4" t="s">
        <v>157</v>
      </c>
      <c r="O4" t="s">
        <v>7</v>
      </c>
      <c r="P4" t="s">
        <v>157</v>
      </c>
      <c r="Q4" t="s">
        <v>28</v>
      </c>
      <c r="R4" t="s">
        <v>108</v>
      </c>
      <c r="S4" t="s">
        <v>35</v>
      </c>
      <c r="T4" t="s">
        <v>113</v>
      </c>
      <c r="U4" t="s">
        <v>41</v>
      </c>
      <c r="V4" t="s">
        <v>41</v>
      </c>
      <c r="W4" t="s">
        <v>120</v>
      </c>
      <c r="X4" t="s">
        <v>127</v>
      </c>
      <c r="Y4" t="s">
        <v>38</v>
      </c>
      <c r="Z4" t="s">
        <v>122</v>
      </c>
      <c r="AA4" t="b">
        <v>0</v>
      </c>
      <c r="AB4" t="b">
        <v>0</v>
      </c>
      <c r="AC4" t="b">
        <v>0</v>
      </c>
      <c r="AD4" t="b">
        <v>0</v>
      </c>
      <c r="AE4" t="b">
        <v>0</v>
      </c>
      <c r="AF4" t="s">
        <v>195</v>
      </c>
    </row>
    <row r="5" spans="1:32" x14ac:dyDescent="0.25">
      <c r="A5" t="s">
        <v>70</v>
      </c>
      <c r="B5" t="s">
        <v>79</v>
      </c>
      <c r="C5" t="s">
        <v>81</v>
      </c>
      <c r="D5" t="s">
        <v>90</v>
      </c>
      <c r="E5" t="s">
        <v>90</v>
      </c>
      <c r="F5" t="s">
        <v>89</v>
      </c>
      <c r="G5" t="s">
        <v>90</v>
      </c>
      <c r="H5" t="s">
        <v>89</v>
      </c>
      <c r="I5" t="s">
        <v>90</v>
      </c>
      <c r="J5" t="s">
        <v>89</v>
      </c>
      <c r="K5" t="s">
        <v>90</v>
      </c>
      <c r="L5" t="s">
        <v>89</v>
      </c>
      <c r="M5" t="s">
        <v>81</v>
      </c>
      <c r="N5" t="s">
        <v>158</v>
      </c>
      <c r="O5" t="s">
        <v>28</v>
      </c>
      <c r="P5" t="s">
        <v>158</v>
      </c>
      <c r="Q5" t="s">
        <v>81</v>
      </c>
      <c r="R5" t="s">
        <v>109</v>
      </c>
      <c r="T5" t="s">
        <v>114</v>
      </c>
      <c r="U5" t="s">
        <v>117</v>
      </c>
      <c r="V5" t="s">
        <v>117</v>
      </c>
      <c r="W5" t="s">
        <v>121</v>
      </c>
      <c r="Z5" t="s">
        <v>124</v>
      </c>
      <c r="AF5" t="s">
        <v>197</v>
      </c>
    </row>
    <row r="6" spans="1:32" x14ac:dyDescent="0.25">
      <c r="A6" t="s">
        <v>72</v>
      </c>
      <c r="B6" t="s">
        <v>80</v>
      </c>
      <c r="C6" t="s">
        <v>82</v>
      </c>
      <c r="D6" t="s">
        <v>88</v>
      </c>
      <c r="E6" t="s">
        <v>88</v>
      </c>
      <c r="F6" t="s">
        <v>91</v>
      </c>
      <c r="G6" t="s">
        <v>88</v>
      </c>
      <c r="H6" t="s">
        <v>91</v>
      </c>
      <c r="I6" t="s">
        <v>88</v>
      </c>
      <c r="J6" t="s">
        <v>91</v>
      </c>
      <c r="K6" t="s">
        <v>88</v>
      </c>
      <c r="L6" t="s">
        <v>91</v>
      </c>
      <c r="M6" t="s">
        <v>82</v>
      </c>
      <c r="N6" t="s">
        <v>155</v>
      </c>
      <c r="O6" t="s">
        <v>81</v>
      </c>
      <c r="P6" t="s">
        <v>155</v>
      </c>
      <c r="Q6" t="s">
        <v>82</v>
      </c>
      <c r="R6" t="s">
        <v>110</v>
      </c>
      <c r="T6" t="s">
        <v>115</v>
      </c>
      <c r="U6" t="s">
        <v>118</v>
      </c>
      <c r="V6" t="s">
        <v>118</v>
      </c>
      <c r="W6" t="s">
        <v>187</v>
      </c>
      <c r="Z6" t="s">
        <v>123</v>
      </c>
      <c r="AF6" t="s">
        <v>198</v>
      </c>
    </row>
    <row r="7" spans="1:32" x14ac:dyDescent="0.25">
      <c r="A7" t="s">
        <v>71</v>
      </c>
      <c r="C7" t="s">
        <v>83</v>
      </c>
      <c r="D7" t="s">
        <v>92</v>
      </c>
      <c r="E7" t="s">
        <v>92</v>
      </c>
      <c r="F7" t="s">
        <v>93</v>
      </c>
      <c r="G7" t="s">
        <v>92</v>
      </c>
      <c r="H7" t="s">
        <v>93</v>
      </c>
      <c r="I7" t="s">
        <v>92</v>
      </c>
      <c r="J7" t="s">
        <v>93</v>
      </c>
      <c r="K7" t="s">
        <v>92</v>
      </c>
      <c r="L7" t="s">
        <v>93</v>
      </c>
      <c r="M7" t="s">
        <v>96</v>
      </c>
      <c r="N7" t="s">
        <v>156</v>
      </c>
      <c r="O7" t="s">
        <v>82</v>
      </c>
      <c r="P7" t="s">
        <v>156</v>
      </c>
      <c r="Q7" t="s">
        <v>83</v>
      </c>
      <c r="R7" t="s">
        <v>111</v>
      </c>
      <c r="T7" t="s">
        <v>116</v>
      </c>
      <c r="U7" t="s">
        <v>119</v>
      </c>
      <c r="V7" t="s">
        <v>119</v>
      </c>
      <c r="AF7" t="s">
        <v>199</v>
      </c>
    </row>
    <row r="8" spans="1:32" x14ac:dyDescent="0.25">
      <c r="A8" t="s">
        <v>73</v>
      </c>
      <c r="C8" t="s">
        <v>84</v>
      </c>
      <c r="D8" t="s">
        <v>166</v>
      </c>
      <c r="E8" t="s">
        <v>166</v>
      </c>
      <c r="F8" t="s">
        <v>94</v>
      </c>
      <c r="G8" t="s">
        <v>166</v>
      </c>
      <c r="H8" t="s">
        <v>94</v>
      </c>
      <c r="I8" t="s">
        <v>166</v>
      </c>
      <c r="J8" t="s">
        <v>94</v>
      </c>
      <c r="K8" t="s">
        <v>166</v>
      </c>
      <c r="L8" t="s">
        <v>94</v>
      </c>
      <c r="M8" t="s">
        <v>152</v>
      </c>
      <c r="N8" t="s">
        <v>163</v>
      </c>
      <c r="O8" t="s">
        <v>96</v>
      </c>
      <c r="P8" t="s">
        <v>163</v>
      </c>
      <c r="Q8" t="s">
        <v>84</v>
      </c>
      <c r="U8" t="s">
        <v>44</v>
      </c>
      <c r="V8" t="s">
        <v>44</v>
      </c>
      <c r="AF8" t="s">
        <v>200</v>
      </c>
    </row>
    <row r="9" spans="1:32" x14ac:dyDescent="0.25">
      <c r="A9" t="s">
        <v>74</v>
      </c>
      <c r="C9" t="s">
        <v>85</v>
      </c>
      <c r="D9" t="s">
        <v>164</v>
      </c>
      <c r="E9" t="s">
        <v>164</v>
      </c>
      <c r="F9" t="s">
        <v>95</v>
      </c>
      <c r="G9" t="s">
        <v>164</v>
      </c>
      <c r="H9" t="s">
        <v>95</v>
      </c>
      <c r="I9" t="s">
        <v>164</v>
      </c>
      <c r="J9" t="s">
        <v>95</v>
      </c>
      <c r="K9" t="s">
        <v>164</v>
      </c>
      <c r="L9" t="s">
        <v>95</v>
      </c>
      <c r="M9" t="s">
        <v>153</v>
      </c>
      <c r="N9" t="s">
        <v>159</v>
      </c>
      <c r="O9" t="s">
        <v>152</v>
      </c>
      <c r="P9" t="s">
        <v>162</v>
      </c>
      <c r="U9" t="s">
        <v>192</v>
      </c>
      <c r="V9" t="s">
        <v>192</v>
      </c>
      <c r="AF9" t="s">
        <v>201</v>
      </c>
    </row>
    <row r="10" spans="1:32" x14ac:dyDescent="0.25">
      <c r="A10" t="s">
        <v>75</v>
      </c>
      <c r="D10" t="s">
        <v>165</v>
      </c>
      <c r="E10" t="s">
        <v>165</v>
      </c>
      <c r="G10" t="s">
        <v>165</v>
      </c>
      <c r="I10" t="s">
        <v>165</v>
      </c>
      <c r="K10" t="s">
        <v>165</v>
      </c>
      <c r="M10" t="s">
        <v>154</v>
      </c>
      <c r="N10" t="s">
        <v>160</v>
      </c>
      <c r="O10" t="s">
        <v>153</v>
      </c>
      <c r="P10" t="s">
        <v>160</v>
      </c>
      <c r="AF10" t="s">
        <v>204</v>
      </c>
    </row>
    <row r="11" spans="1:32" x14ac:dyDescent="0.25">
      <c r="A11" t="s">
        <v>76</v>
      </c>
      <c r="D11" t="s">
        <v>178</v>
      </c>
      <c r="E11" t="s">
        <v>178</v>
      </c>
      <c r="G11" t="s">
        <v>178</v>
      </c>
      <c r="I11" t="s">
        <v>178</v>
      </c>
      <c r="K11" t="s">
        <v>178</v>
      </c>
      <c r="N11" t="s">
        <v>161</v>
      </c>
      <c r="O11" t="s">
        <v>154</v>
      </c>
      <c r="P11" t="s">
        <v>161</v>
      </c>
      <c r="AF11" t="s">
        <v>202</v>
      </c>
    </row>
    <row r="12" spans="1:32" x14ac:dyDescent="0.25">
      <c r="A12" t="s">
        <v>167</v>
      </c>
      <c r="AF12" t="s">
        <v>203</v>
      </c>
    </row>
    <row r="13" spans="1:32" x14ac:dyDescent="0.25">
      <c r="A13" t="s">
        <v>168</v>
      </c>
    </row>
    <row r="14" spans="1:32" x14ac:dyDescent="0.25">
      <c r="A14" t="s">
        <v>169</v>
      </c>
    </row>
    <row r="15" spans="1:32" x14ac:dyDescent="0.25">
      <c r="A15" t="s">
        <v>170</v>
      </c>
    </row>
    <row r="16" spans="1:32" x14ac:dyDescent="0.25">
      <c r="A16" t="s">
        <v>171</v>
      </c>
    </row>
    <row r="17" spans="1:1" x14ac:dyDescent="0.25">
      <c r="A17" t="s">
        <v>206</v>
      </c>
    </row>
  </sheetData>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8"/>
  <sheetViews>
    <sheetView workbookViewId="0">
      <selection activeCell="B8" sqref="B8"/>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54</v>
      </c>
    </row>
    <row r="2" spans="1:4" x14ac:dyDescent="0.25">
      <c r="A2" s="1" t="s">
        <v>6</v>
      </c>
    </row>
    <row r="3" spans="1:4" x14ac:dyDescent="0.25">
      <c r="A3" s="1" t="s">
        <v>4</v>
      </c>
      <c r="B3" s="4" t="s">
        <v>3</v>
      </c>
      <c r="C3" s="4"/>
      <c r="D3" s="1" t="s">
        <v>239</v>
      </c>
    </row>
    <row r="4" spans="1:4" x14ac:dyDescent="0.25">
      <c r="A4" t="s">
        <v>55</v>
      </c>
      <c r="B4" s="11"/>
      <c r="D4" t="s">
        <v>63</v>
      </c>
    </row>
    <row r="5" spans="1:4" x14ac:dyDescent="0.25">
      <c r="A5" t="s">
        <v>56</v>
      </c>
      <c r="B5" s="11"/>
      <c r="D5" t="s">
        <v>57</v>
      </c>
    </row>
    <row r="6" spans="1:4" x14ac:dyDescent="0.25">
      <c r="A6" t="s">
        <v>58</v>
      </c>
      <c r="B6" s="11"/>
      <c r="D6" t="s">
        <v>242</v>
      </c>
    </row>
    <row r="7" spans="1:4" x14ac:dyDescent="0.25">
      <c r="A7" t="s">
        <v>193</v>
      </c>
      <c r="B7" s="12"/>
      <c r="D7" t="s">
        <v>243</v>
      </c>
    </row>
    <row r="8" spans="1:4" x14ac:dyDescent="0.25">
      <c r="A8" t="s">
        <v>244</v>
      </c>
      <c r="B8" s="8"/>
      <c r="D8" t="s">
        <v>245</v>
      </c>
    </row>
  </sheetData>
  <sheetProtection sheet="1" objects="1" scenarios="1"/>
  <protectedRanges>
    <protectedRange sqref="B4:B8"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By" prompt="Unique identifier for user and/or laboratory that submits the data. Typically user email." sqref="B7" xr:uid="{BE995708-63E4-4A7C-82C6-00E39CF7A4D8}"/>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375C6116-F74C-48BC-BD1C-666DEB57D471}">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2:B158"/>
  <sheetViews>
    <sheetView workbookViewId="0"/>
  </sheetViews>
  <sheetFormatPr defaultRowHeight="15" x14ac:dyDescent="0.25"/>
  <sheetData>
    <row r="2" spans="1:2" x14ac:dyDescent="0.25">
      <c r="A2" t="s">
        <v>256</v>
      </c>
      <c r="B2" t="s">
        <v>257</v>
      </c>
    </row>
    <row r="3" spans="1:2" x14ac:dyDescent="0.25">
      <c r="A3" t="s">
        <v>63</v>
      </c>
      <c r="B3" t="s">
        <v>293</v>
      </c>
    </row>
    <row r="4" spans="1:2" x14ac:dyDescent="0.25">
      <c r="A4" t="s">
        <v>57</v>
      </c>
      <c r="B4" t="s">
        <v>294</v>
      </c>
    </row>
    <row r="5" spans="1:2" x14ac:dyDescent="0.25">
      <c r="A5" t="s">
        <v>242</v>
      </c>
      <c r="B5" t="s">
        <v>295</v>
      </c>
    </row>
    <row r="6" spans="1:2" x14ac:dyDescent="0.25">
      <c r="A6" t="s">
        <v>243</v>
      </c>
      <c r="B6" t="s">
        <v>258</v>
      </c>
    </row>
    <row r="9" spans="1:2" x14ac:dyDescent="0.25">
      <c r="A9" t="s">
        <v>259</v>
      </c>
      <c r="B9" t="s">
        <v>257</v>
      </c>
    </row>
    <row r="10" spans="1:2" x14ac:dyDescent="0.25">
      <c r="A10" t="s">
        <v>144</v>
      </c>
      <c r="B10" t="s">
        <v>260</v>
      </c>
    </row>
    <row r="11" spans="1:2" x14ac:dyDescent="0.25">
      <c r="A11" t="s">
        <v>29</v>
      </c>
      <c r="B11" t="s">
        <v>296</v>
      </c>
    </row>
    <row r="12" spans="1:2" x14ac:dyDescent="0.25">
      <c r="A12" t="s">
        <v>143</v>
      </c>
      <c r="B12" t="s">
        <v>297</v>
      </c>
    </row>
    <row r="13" spans="1:2" x14ac:dyDescent="0.25">
      <c r="A13" t="s">
        <v>133</v>
      </c>
      <c r="B13" t="s">
        <v>261</v>
      </c>
    </row>
    <row r="14" spans="1:2" x14ac:dyDescent="0.25">
      <c r="A14" t="s">
        <v>15</v>
      </c>
      <c r="B14" t="s">
        <v>298</v>
      </c>
    </row>
    <row r="15" spans="1:2" x14ac:dyDescent="0.25">
      <c r="A15" t="s">
        <v>16</v>
      </c>
      <c r="B15" t="s">
        <v>264</v>
      </c>
    </row>
    <row r="16" spans="1:2" x14ac:dyDescent="0.25">
      <c r="A16" t="s">
        <v>145</v>
      </c>
      <c r="B16" t="s">
        <v>263</v>
      </c>
    </row>
    <row r="17" spans="1:2" x14ac:dyDescent="0.25">
      <c r="A17" t="s">
        <v>17</v>
      </c>
      <c r="B17" t="s">
        <v>262</v>
      </c>
    </row>
    <row r="18" spans="1:2" x14ac:dyDescent="0.25">
      <c r="A18" t="s">
        <v>18</v>
      </c>
      <c r="B18" t="s">
        <v>264</v>
      </c>
    </row>
    <row r="19" spans="1:2" x14ac:dyDescent="0.25">
      <c r="A19" t="s">
        <v>19</v>
      </c>
      <c r="B19" t="s">
        <v>264</v>
      </c>
    </row>
    <row r="20" spans="1:2" x14ac:dyDescent="0.25">
      <c r="A20" t="s">
        <v>20</v>
      </c>
      <c r="B20" t="s">
        <v>264</v>
      </c>
    </row>
    <row r="21" spans="1:2" x14ac:dyDescent="0.25">
      <c r="A21" t="s">
        <v>21</v>
      </c>
      <c r="B21" t="s">
        <v>264</v>
      </c>
    </row>
    <row r="22" spans="1:2" x14ac:dyDescent="0.25">
      <c r="A22" t="s">
        <v>148</v>
      </c>
      <c r="B22" t="s">
        <v>265</v>
      </c>
    </row>
    <row r="23" spans="1:2" x14ac:dyDescent="0.25">
      <c r="A23" t="s">
        <v>22</v>
      </c>
      <c r="B23" t="s">
        <v>299</v>
      </c>
    </row>
    <row r="24" spans="1:2" x14ac:dyDescent="0.25">
      <c r="A24" t="s">
        <v>23</v>
      </c>
      <c r="B24" t="s">
        <v>300</v>
      </c>
    </row>
    <row r="25" spans="1:2" x14ac:dyDescent="0.25">
      <c r="A25" t="s">
        <v>24</v>
      </c>
      <c r="B25">
        <v>4.5999999999999996</v>
      </c>
    </row>
    <row r="26" spans="1:2" x14ac:dyDescent="0.25">
      <c r="A26" t="s">
        <v>25</v>
      </c>
      <c r="B26">
        <v>100</v>
      </c>
    </row>
    <row r="27" spans="1:2" x14ac:dyDescent="0.25">
      <c r="A27" t="s">
        <v>26</v>
      </c>
      <c r="B27">
        <v>3.5</v>
      </c>
    </row>
    <row r="28" spans="1:2" x14ac:dyDescent="0.25">
      <c r="A28" t="s">
        <v>147</v>
      </c>
      <c r="B28" t="s">
        <v>265</v>
      </c>
    </row>
    <row r="29" spans="1:2" x14ac:dyDescent="0.25">
      <c r="A29" t="s">
        <v>151</v>
      </c>
      <c r="B29" t="s">
        <v>301</v>
      </c>
    </row>
    <row r="30" spans="1:2" x14ac:dyDescent="0.25">
      <c r="A30" t="s">
        <v>150</v>
      </c>
      <c r="B30" t="s">
        <v>302</v>
      </c>
    </row>
    <row r="31" spans="1:2" x14ac:dyDescent="0.25">
      <c r="A31" t="s">
        <v>175</v>
      </c>
      <c r="B31">
        <v>4.5999999999999996</v>
      </c>
    </row>
    <row r="32" spans="1:2" x14ac:dyDescent="0.25">
      <c r="A32" t="s">
        <v>176</v>
      </c>
      <c r="B32">
        <v>25</v>
      </c>
    </row>
    <row r="33" spans="1:2" x14ac:dyDescent="0.25">
      <c r="A33" t="s">
        <v>177</v>
      </c>
      <c r="B33">
        <v>5</v>
      </c>
    </row>
    <row r="36" spans="1:2" x14ac:dyDescent="0.25">
      <c r="A36" t="s">
        <v>266</v>
      </c>
      <c r="B36" t="s">
        <v>257</v>
      </c>
    </row>
    <row r="37" spans="1:2" x14ac:dyDescent="0.25">
      <c r="A37" t="s">
        <v>141</v>
      </c>
      <c r="B37" t="s">
        <v>303</v>
      </c>
    </row>
    <row r="38" spans="1:2" x14ac:dyDescent="0.25">
      <c r="A38" t="s">
        <v>140</v>
      </c>
      <c r="B38" t="s">
        <v>304</v>
      </c>
    </row>
    <row r="39" spans="1:2" x14ac:dyDescent="0.25">
      <c r="A39" t="s">
        <v>246</v>
      </c>
      <c r="B39" t="s">
        <v>267</v>
      </c>
    </row>
    <row r="40" spans="1:2" x14ac:dyDescent="0.25">
      <c r="A40" t="s">
        <v>36</v>
      </c>
      <c r="B40" t="s">
        <v>305</v>
      </c>
    </row>
    <row r="41" spans="1:2" x14ac:dyDescent="0.25">
      <c r="A41" t="s">
        <v>247</v>
      </c>
      <c r="B41">
        <v>5500</v>
      </c>
    </row>
    <row r="42" spans="1:2" x14ac:dyDescent="0.25">
      <c r="A42" t="s">
        <v>39</v>
      </c>
      <c r="B42" t="s">
        <v>268</v>
      </c>
    </row>
    <row r="43" spans="1:2" x14ac:dyDescent="0.25">
      <c r="A43" t="s">
        <v>42</v>
      </c>
      <c r="B43" t="s">
        <v>269</v>
      </c>
    </row>
    <row r="44" spans="1:2" x14ac:dyDescent="0.25">
      <c r="A44" t="s">
        <v>45</v>
      </c>
      <c r="B44" t="s">
        <v>306</v>
      </c>
    </row>
    <row r="45" spans="1:2" x14ac:dyDescent="0.25">
      <c r="A45" t="s">
        <v>47</v>
      </c>
      <c r="B45" t="s">
        <v>307</v>
      </c>
    </row>
    <row r="46" spans="1:2" x14ac:dyDescent="0.25">
      <c r="A46" t="s">
        <v>248</v>
      </c>
      <c r="B46">
        <v>60</v>
      </c>
    </row>
    <row r="47" spans="1:2" x14ac:dyDescent="0.25">
      <c r="A47" t="s">
        <v>249</v>
      </c>
      <c r="B47" t="s">
        <v>270</v>
      </c>
    </row>
    <row r="48" spans="1:2" x14ac:dyDescent="0.25">
      <c r="A48" t="s">
        <v>250</v>
      </c>
      <c r="B48" t="s">
        <v>268</v>
      </c>
    </row>
    <row r="49" spans="1:2" x14ac:dyDescent="0.25">
      <c r="A49" t="s">
        <v>60</v>
      </c>
      <c r="B49" t="s">
        <v>271</v>
      </c>
    </row>
    <row r="50" spans="1:2" x14ac:dyDescent="0.25">
      <c r="A50" t="s">
        <v>62</v>
      </c>
      <c r="B50">
        <v>1</v>
      </c>
    </row>
    <row r="51" spans="1:2" x14ac:dyDescent="0.25">
      <c r="A51" t="s">
        <v>134</v>
      </c>
      <c r="B51">
        <v>6</v>
      </c>
    </row>
    <row r="52" spans="1:2" x14ac:dyDescent="0.25">
      <c r="A52" t="s">
        <v>137</v>
      </c>
      <c r="B52">
        <v>35000</v>
      </c>
    </row>
    <row r="53" spans="1:2" x14ac:dyDescent="0.25">
      <c r="A53" t="s">
        <v>138</v>
      </c>
      <c r="B53">
        <v>25000</v>
      </c>
    </row>
    <row r="56" spans="1:2" x14ac:dyDescent="0.25">
      <c r="A56" t="s">
        <v>272</v>
      </c>
      <c r="B56" t="s">
        <v>257</v>
      </c>
    </row>
    <row r="57" spans="1:2" x14ac:dyDescent="0.25">
      <c r="A57" t="s">
        <v>308</v>
      </c>
      <c r="B57" t="s">
        <v>274</v>
      </c>
    </row>
    <row r="58" spans="1:2" x14ac:dyDescent="0.25">
      <c r="A58" t="s">
        <v>52</v>
      </c>
      <c r="B58" t="s">
        <v>257</v>
      </c>
    </row>
    <row r="59" spans="1:2" x14ac:dyDescent="0.25">
      <c r="A59" t="s">
        <v>63</v>
      </c>
      <c r="B59" t="s">
        <v>275</v>
      </c>
    </row>
    <row r="60" spans="1:2" x14ac:dyDescent="0.25">
      <c r="A60" t="s">
        <v>273</v>
      </c>
      <c r="B60" t="s">
        <v>274</v>
      </c>
    </row>
    <row r="62" spans="1:2" x14ac:dyDescent="0.25">
      <c r="A62" t="s">
        <v>52</v>
      </c>
      <c r="B62" t="s">
        <v>257</v>
      </c>
    </row>
    <row r="63" spans="1:2" x14ac:dyDescent="0.25">
      <c r="A63" t="s">
        <v>63</v>
      </c>
      <c r="B63" t="s">
        <v>276</v>
      </c>
    </row>
    <row r="64" spans="1:2" x14ac:dyDescent="0.25">
      <c r="A64" t="s">
        <v>273</v>
      </c>
      <c r="B64" t="s">
        <v>278</v>
      </c>
    </row>
    <row r="66" spans="1:2" x14ac:dyDescent="0.25">
      <c r="A66" t="s">
        <v>52</v>
      </c>
      <c r="B66" t="s">
        <v>257</v>
      </c>
    </row>
    <row r="67" spans="1:2" x14ac:dyDescent="0.25">
      <c r="A67" t="s">
        <v>63</v>
      </c>
      <c r="B67" t="s">
        <v>277</v>
      </c>
    </row>
    <row r="68" spans="1:2" x14ac:dyDescent="0.25">
      <c r="A68" t="s">
        <v>273</v>
      </c>
      <c r="B68" t="s">
        <v>278</v>
      </c>
    </row>
    <row r="70" spans="1:2" x14ac:dyDescent="0.25">
      <c r="A70" t="s">
        <v>52</v>
      </c>
      <c r="B70" t="s">
        <v>257</v>
      </c>
    </row>
    <row r="71" spans="1:2" x14ac:dyDescent="0.25">
      <c r="A71" t="s">
        <v>63</v>
      </c>
      <c r="B71" t="s">
        <v>279</v>
      </c>
    </row>
    <row r="72" spans="1:2" x14ac:dyDescent="0.25">
      <c r="A72" t="s">
        <v>273</v>
      </c>
      <c r="B72" t="s">
        <v>278</v>
      </c>
    </row>
    <row r="75" spans="1:2" x14ac:dyDescent="0.25">
      <c r="A75" t="s">
        <v>280</v>
      </c>
      <c r="B75" t="s">
        <v>257</v>
      </c>
    </row>
    <row r="76" spans="1:2" x14ac:dyDescent="0.25">
      <c r="A76" t="s">
        <v>281</v>
      </c>
      <c r="B76" t="s">
        <v>257</v>
      </c>
    </row>
    <row r="77" spans="1:2" x14ac:dyDescent="0.25">
      <c r="A77" t="s">
        <v>282</v>
      </c>
      <c r="B77">
        <v>1</v>
      </c>
    </row>
    <row r="78" spans="1:2" x14ac:dyDescent="0.25">
      <c r="A78" t="s">
        <v>63</v>
      </c>
      <c r="B78" t="s">
        <v>309</v>
      </c>
    </row>
    <row r="79" spans="1:2" x14ac:dyDescent="0.25">
      <c r="A79" t="s">
        <v>283</v>
      </c>
      <c r="B79">
        <v>3611</v>
      </c>
    </row>
    <row r="80" spans="1:2" x14ac:dyDescent="0.25">
      <c r="A80" t="s">
        <v>284</v>
      </c>
      <c r="B80" t="s">
        <v>310</v>
      </c>
    </row>
    <row r="81" spans="1:2" x14ac:dyDescent="0.25">
      <c r="A81" t="s">
        <v>64</v>
      </c>
      <c r="B81">
        <v>529.08149414062495</v>
      </c>
    </row>
    <row r="82" spans="1:2" x14ac:dyDescent="0.25">
      <c r="A82" t="s">
        <v>65</v>
      </c>
      <c r="B82">
        <v>17.0093</v>
      </c>
    </row>
    <row r="83" spans="1:2" x14ac:dyDescent="0.25">
      <c r="A83" t="s">
        <v>66</v>
      </c>
      <c r="B83">
        <v>16.8</v>
      </c>
    </row>
    <row r="84" spans="1:2" x14ac:dyDescent="0.25">
      <c r="A84" t="s">
        <v>67</v>
      </c>
      <c r="B84">
        <v>17.27</v>
      </c>
    </row>
    <row r="85" spans="1:2" x14ac:dyDescent="0.25">
      <c r="A85" t="s">
        <v>285</v>
      </c>
      <c r="B85" t="s">
        <v>278</v>
      </c>
    </row>
    <row r="87" spans="1:2" x14ac:dyDescent="0.25">
      <c r="A87" t="s">
        <v>281</v>
      </c>
      <c r="B87" t="s">
        <v>257</v>
      </c>
    </row>
    <row r="88" spans="1:2" x14ac:dyDescent="0.25">
      <c r="A88" t="s">
        <v>282</v>
      </c>
      <c r="B88">
        <v>2</v>
      </c>
    </row>
    <row r="89" spans="1:2" x14ac:dyDescent="0.25">
      <c r="A89" t="s">
        <v>63</v>
      </c>
      <c r="B89" t="s">
        <v>311</v>
      </c>
    </row>
    <row r="90" spans="1:2" x14ac:dyDescent="0.25">
      <c r="A90" t="s">
        <v>283</v>
      </c>
      <c r="B90">
        <v>3727</v>
      </c>
    </row>
    <row r="91" spans="1:2" x14ac:dyDescent="0.25">
      <c r="A91" t="s">
        <v>284</v>
      </c>
      <c r="B91" t="s">
        <v>310</v>
      </c>
    </row>
    <row r="92" spans="1:2" x14ac:dyDescent="0.25">
      <c r="A92" t="s">
        <v>64</v>
      </c>
      <c r="B92">
        <v>573.10614013671795</v>
      </c>
    </row>
    <row r="93" spans="1:2" x14ac:dyDescent="0.25">
      <c r="A93" t="s">
        <v>65</v>
      </c>
      <c r="B93">
        <v>17.546066666666999</v>
      </c>
    </row>
    <row r="94" spans="1:2" x14ac:dyDescent="0.25">
      <c r="A94" t="s">
        <v>66</v>
      </c>
      <c r="B94">
        <v>17.329999999999998</v>
      </c>
    </row>
    <row r="95" spans="1:2" x14ac:dyDescent="0.25">
      <c r="A95" t="s">
        <v>67</v>
      </c>
      <c r="B95">
        <v>17.813400000000001</v>
      </c>
    </row>
    <row r="96" spans="1:2" x14ac:dyDescent="0.25">
      <c r="A96" t="s">
        <v>285</v>
      </c>
      <c r="B96" t="s">
        <v>278</v>
      </c>
    </row>
    <row r="98" spans="1:2" x14ac:dyDescent="0.25">
      <c r="A98" t="s">
        <v>281</v>
      </c>
      <c r="B98" t="s">
        <v>257</v>
      </c>
    </row>
    <row r="99" spans="1:2" x14ac:dyDescent="0.25">
      <c r="A99" t="s">
        <v>282</v>
      </c>
      <c r="B99">
        <v>3</v>
      </c>
    </row>
    <row r="100" spans="1:2" x14ac:dyDescent="0.25">
      <c r="A100" t="s">
        <v>63</v>
      </c>
      <c r="B100" t="s">
        <v>312</v>
      </c>
    </row>
    <row r="101" spans="1:2" x14ac:dyDescent="0.25">
      <c r="A101" t="s">
        <v>283</v>
      </c>
      <c r="B101">
        <v>3633</v>
      </c>
    </row>
    <row r="102" spans="1:2" x14ac:dyDescent="0.25">
      <c r="A102" t="s">
        <v>284</v>
      </c>
      <c r="B102" t="s">
        <v>310</v>
      </c>
    </row>
    <row r="103" spans="1:2" x14ac:dyDescent="0.25">
      <c r="A103" t="s">
        <v>64</v>
      </c>
      <c r="B103">
        <v>499.07141876220697</v>
      </c>
    </row>
    <row r="104" spans="1:2" x14ac:dyDescent="0.25">
      <c r="A104" t="s">
        <v>65</v>
      </c>
      <c r="B104">
        <v>17.116233333333</v>
      </c>
    </row>
    <row r="105" spans="1:2" x14ac:dyDescent="0.25">
      <c r="A105" t="s">
        <v>66</v>
      </c>
      <c r="B105">
        <v>17</v>
      </c>
    </row>
    <row r="106" spans="1:2" x14ac:dyDescent="0.25">
      <c r="A106" t="s">
        <v>67</v>
      </c>
      <c r="B106">
        <v>17.276983333333</v>
      </c>
    </row>
    <row r="107" spans="1:2" x14ac:dyDescent="0.25">
      <c r="A107" t="s">
        <v>285</v>
      </c>
      <c r="B107" t="s">
        <v>278</v>
      </c>
    </row>
    <row r="110" spans="1:2" x14ac:dyDescent="0.25">
      <c r="A110" t="s">
        <v>286</v>
      </c>
      <c r="B110" t="s">
        <v>257</v>
      </c>
    </row>
    <row r="111" spans="1:2" x14ac:dyDescent="0.25">
      <c r="A111" t="s">
        <v>287</v>
      </c>
      <c r="B111" t="s">
        <v>257</v>
      </c>
    </row>
    <row r="112" spans="1:2" x14ac:dyDescent="0.25">
      <c r="A112" t="s">
        <v>63</v>
      </c>
      <c r="B112" t="s">
        <v>309</v>
      </c>
    </row>
    <row r="113" spans="1:2" x14ac:dyDescent="0.25">
      <c r="A113" t="s">
        <v>288</v>
      </c>
      <c r="B113" t="s">
        <v>257</v>
      </c>
    </row>
    <row r="114" spans="1:2" x14ac:dyDescent="0.25">
      <c r="A114" t="s">
        <v>289</v>
      </c>
      <c r="B114">
        <v>58.0672</v>
      </c>
    </row>
    <row r="115" spans="1:2" x14ac:dyDescent="0.25">
      <c r="A115" t="s">
        <v>290</v>
      </c>
      <c r="B115" t="s">
        <v>313</v>
      </c>
    </row>
    <row r="116" spans="1:2" x14ac:dyDescent="0.25">
      <c r="A116" t="s">
        <v>291</v>
      </c>
      <c r="B116" t="s">
        <v>257</v>
      </c>
    </row>
    <row r="117" spans="1:2" x14ac:dyDescent="0.25">
      <c r="A117" t="s">
        <v>292</v>
      </c>
      <c r="B117" t="s">
        <v>278</v>
      </c>
    </row>
    <row r="120" spans="1:2" x14ac:dyDescent="0.25">
      <c r="A120" t="s">
        <v>288</v>
      </c>
      <c r="B120" t="s">
        <v>257</v>
      </c>
    </row>
    <row r="121" spans="1:2" x14ac:dyDescent="0.25">
      <c r="A121" t="s">
        <v>289</v>
      </c>
      <c r="B121">
        <v>90.091099999999997</v>
      </c>
    </row>
    <row r="122" spans="1:2" x14ac:dyDescent="0.25">
      <c r="A122" t="s">
        <v>290</v>
      </c>
      <c r="B122" t="s">
        <v>314</v>
      </c>
    </row>
    <row r="123" spans="1:2" x14ac:dyDescent="0.25">
      <c r="A123" t="s">
        <v>291</v>
      </c>
      <c r="B123" t="s">
        <v>257</v>
      </c>
    </row>
    <row r="124" spans="1:2" x14ac:dyDescent="0.25">
      <c r="A124" t="s">
        <v>292</v>
      </c>
      <c r="B124" t="s">
        <v>278</v>
      </c>
    </row>
    <row r="128" spans="1:2" x14ac:dyDescent="0.25">
      <c r="A128" t="s">
        <v>287</v>
      </c>
      <c r="B128" t="s">
        <v>257</v>
      </c>
    </row>
    <row r="129" spans="1:2" x14ac:dyDescent="0.25">
      <c r="A129" t="s">
        <v>63</v>
      </c>
      <c r="B129" t="s">
        <v>311</v>
      </c>
    </row>
    <row r="130" spans="1:2" x14ac:dyDescent="0.25">
      <c r="A130" t="s">
        <v>288</v>
      </c>
      <c r="B130" t="s">
        <v>257</v>
      </c>
    </row>
    <row r="131" spans="1:2" x14ac:dyDescent="0.25">
      <c r="A131" t="s">
        <v>289</v>
      </c>
      <c r="B131">
        <v>70.065700000000007</v>
      </c>
    </row>
    <row r="132" spans="1:2" x14ac:dyDescent="0.25">
      <c r="A132" t="s">
        <v>290</v>
      </c>
      <c r="B132" t="s">
        <v>315</v>
      </c>
    </row>
    <row r="133" spans="1:2" x14ac:dyDescent="0.25">
      <c r="A133" t="s">
        <v>291</v>
      </c>
      <c r="B133" t="s">
        <v>257</v>
      </c>
    </row>
    <row r="134" spans="1:2" x14ac:dyDescent="0.25">
      <c r="A134" t="s">
        <v>292</v>
      </c>
      <c r="B134" t="s">
        <v>278</v>
      </c>
    </row>
    <row r="137" spans="1:2" x14ac:dyDescent="0.25">
      <c r="A137" t="s">
        <v>288</v>
      </c>
      <c r="B137" t="s">
        <v>257</v>
      </c>
    </row>
    <row r="138" spans="1:2" x14ac:dyDescent="0.25">
      <c r="A138" t="s">
        <v>289</v>
      </c>
      <c r="B138">
        <v>159.14779999999999</v>
      </c>
    </row>
    <row r="139" spans="1:2" x14ac:dyDescent="0.25">
      <c r="A139" t="s">
        <v>290</v>
      </c>
      <c r="B139" t="s">
        <v>316</v>
      </c>
    </row>
    <row r="140" spans="1:2" x14ac:dyDescent="0.25">
      <c r="A140" t="s">
        <v>291</v>
      </c>
      <c r="B140" t="s">
        <v>257</v>
      </c>
    </row>
    <row r="141" spans="1:2" x14ac:dyDescent="0.25">
      <c r="A141" t="s">
        <v>292</v>
      </c>
      <c r="B141" t="s">
        <v>278</v>
      </c>
    </row>
    <row r="145" spans="1:2" x14ac:dyDescent="0.25">
      <c r="A145" t="s">
        <v>287</v>
      </c>
      <c r="B145" t="s">
        <v>257</v>
      </c>
    </row>
    <row r="146" spans="1:2" x14ac:dyDescent="0.25">
      <c r="A146" t="s">
        <v>63</v>
      </c>
      <c r="B146" t="s">
        <v>312</v>
      </c>
    </row>
    <row r="147" spans="1:2" x14ac:dyDescent="0.25">
      <c r="A147" t="s">
        <v>288</v>
      </c>
      <c r="B147" t="s">
        <v>257</v>
      </c>
    </row>
    <row r="148" spans="1:2" x14ac:dyDescent="0.25">
      <c r="A148" t="s">
        <v>289</v>
      </c>
      <c r="B148">
        <v>58.066099999999999</v>
      </c>
    </row>
    <row r="149" spans="1:2" x14ac:dyDescent="0.25">
      <c r="A149" t="s">
        <v>290</v>
      </c>
      <c r="B149" t="s">
        <v>313</v>
      </c>
    </row>
    <row r="150" spans="1:2" x14ac:dyDescent="0.25">
      <c r="A150" t="s">
        <v>291</v>
      </c>
      <c r="B150" t="s">
        <v>257</v>
      </c>
    </row>
    <row r="151" spans="1:2" x14ac:dyDescent="0.25">
      <c r="A151" t="s">
        <v>292</v>
      </c>
      <c r="B151" t="s">
        <v>278</v>
      </c>
    </row>
    <row r="154" spans="1:2" x14ac:dyDescent="0.25">
      <c r="A154" t="s">
        <v>288</v>
      </c>
      <c r="B154" t="s">
        <v>257</v>
      </c>
    </row>
    <row r="155" spans="1:2" x14ac:dyDescent="0.25">
      <c r="A155" t="s">
        <v>289</v>
      </c>
      <c r="B155">
        <v>60.082299999999996</v>
      </c>
    </row>
    <row r="156" spans="1:2" x14ac:dyDescent="0.25">
      <c r="A156" t="s">
        <v>290</v>
      </c>
      <c r="B156" t="s">
        <v>317</v>
      </c>
    </row>
    <row r="157" spans="1:2" x14ac:dyDescent="0.25">
      <c r="A157" t="s">
        <v>291</v>
      </c>
      <c r="B157" t="s">
        <v>257</v>
      </c>
    </row>
    <row r="158" spans="1:2" x14ac:dyDescent="0.25">
      <c r="A158" t="s">
        <v>292</v>
      </c>
      <c r="B158" t="s">
        <v>278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B4" sqref="B4:B28"/>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239</v>
      </c>
    </row>
    <row r="4" spans="1:6" x14ac:dyDescent="0.25">
      <c r="A4" t="s">
        <v>5</v>
      </c>
      <c r="B4" s="11"/>
      <c r="D4" t="s">
        <v>144</v>
      </c>
    </row>
    <row r="5" spans="1:6" x14ac:dyDescent="0.25">
      <c r="A5" t="s">
        <v>27</v>
      </c>
      <c r="B5" s="11"/>
      <c r="D5" t="s">
        <v>29</v>
      </c>
    </row>
    <row r="6" spans="1:6" x14ac:dyDescent="0.25">
      <c r="A6" t="s">
        <v>142</v>
      </c>
      <c r="B6" s="11"/>
      <c r="D6" t="s">
        <v>143</v>
      </c>
    </row>
    <row r="7" spans="1:6" x14ac:dyDescent="0.25">
      <c r="A7" t="s">
        <v>132</v>
      </c>
      <c r="B7" s="11"/>
      <c r="D7" t="s">
        <v>133</v>
      </c>
    </row>
    <row r="8" spans="1:6" x14ac:dyDescent="0.25">
      <c r="A8" t="s">
        <v>1</v>
      </c>
      <c r="B8" s="11"/>
      <c r="D8" t="s">
        <v>15</v>
      </c>
    </row>
    <row r="9" spans="1:6" x14ac:dyDescent="0.25">
      <c r="A9" t="s">
        <v>2</v>
      </c>
      <c r="B9" s="11"/>
      <c r="D9" t="s">
        <v>16</v>
      </c>
    </row>
    <row r="10" spans="1:6" x14ac:dyDescent="0.25">
      <c r="A10" t="s">
        <v>8</v>
      </c>
      <c r="B10" s="11"/>
      <c r="D10" t="s">
        <v>145</v>
      </c>
    </row>
    <row r="11" spans="1:6" x14ac:dyDescent="0.25">
      <c r="A11" t="s">
        <v>9</v>
      </c>
      <c r="B11" s="11"/>
      <c r="D11" t="s">
        <v>17</v>
      </c>
      <c r="F11" s="6"/>
    </row>
    <row r="12" spans="1:6" x14ac:dyDescent="0.25">
      <c r="A12" t="s">
        <v>10</v>
      </c>
      <c r="B12" s="11"/>
      <c r="D12" t="s">
        <v>18</v>
      </c>
    </row>
    <row r="13" spans="1:6" x14ac:dyDescent="0.25">
      <c r="A13" t="s">
        <v>11</v>
      </c>
      <c r="B13" s="11"/>
      <c r="D13" t="s">
        <v>19</v>
      </c>
    </row>
    <row r="14" spans="1:6" x14ac:dyDescent="0.25">
      <c r="A14" t="s">
        <v>12</v>
      </c>
      <c r="B14" s="11"/>
      <c r="D14" t="s">
        <v>20</v>
      </c>
    </row>
    <row r="15" spans="1:6" x14ac:dyDescent="0.25">
      <c r="A15" t="s">
        <v>13</v>
      </c>
      <c r="B15" s="11"/>
      <c r="D15" t="s">
        <v>21</v>
      </c>
    </row>
    <row r="16" spans="1:6" x14ac:dyDescent="0.25">
      <c r="A16" t="s">
        <v>179</v>
      </c>
      <c r="B16" s="11"/>
      <c r="D16" t="s">
        <v>148</v>
      </c>
    </row>
    <row r="17" spans="1:4" x14ac:dyDescent="0.25">
      <c r="A17" t="s">
        <v>185</v>
      </c>
      <c r="B17" s="11"/>
      <c r="D17" t="s">
        <v>22</v>
      </c>
    </row>
    <row r="18" spans="1:4" x14ac:dyDescent="0.25">
      <c r="A18" t="s">
        <v>180</v>
      </c>
      <c r="B18" s="11"/>
      <c r="D18" t="s">
        <v>23</v>
      </c>
    </row>
    <row r="19" spans="1:4" x14ac:dyDescent="0.25">
      <c r="A19" t="s">
        <v>181</v>
      </c>
      <c r="B19" s="11"/>
      <c r="D19" t="s">
        <v>24</v>
      </c>
    </row>
    <row r="20" spans="1:4" x14ac:dyDescent="0.25">
      <c r="A20" t="s">
        <v>182</v>
      </c>
      <c r="B20" s="11"/>
      <c r="D20" t="s">
        <v>25</v>
      </c>
    </row>
    <row r="21" spans="1:4" x14ac:dyDescent="0.25">
      <c r="A21" t="s">
        <v>183</v>
      </c>
      <c r="B21" s="11"/>
      <c r="D21" t="s">
        <v>26</v>
      </c>
    </row>
    <row r="22" spans="1:4" x14ac:dyDescent="0.25">
      <c r="A22" t="s">
        <v>146</v>
      </c>
      <c r="D22" t="s">
        <v>147</v>
      </c>
    </row>
    <row r="23" spans="1:4" x14ac:dyDescent="0.25">
      <c r="A23" t="s">
        <v>184</v>
      </c>
      <c r="D23" t="s">
        <v>151</v>
      </c>
    </row>
    <row r="24" spans="1:4" x14ac:dyDescent="0.25">
      <c r="A24" t="s">
        <v>149</v>
      </c>
      <c r="D24" t="s">
        <v>150</v>
      </c>
    </row>
    <row r="25" spans="1:4" x14ac:dyDescent="0.25">
      <c r="A25" t="s">
        <v>172</v>
      </c>
      <c r="D25" t="s">
        <v>175</v>
      </c>
    </row>
    <row r="26" spans="1:4" x14ac:dyDescent="0.25">
      <c r="A26" t="s">
        <v>173</v>
      </c>
      <c r="D26" t="s">
        <v>176</v>
      </c>
    </row>
    <row r="27" spans="1:4" x14ac:dyDescent="0.25">
      <c r="A27" t="s">
        <v>174</v>
      </c>
      <c r="D27" t="s">
        <v>177</v>
      </c>
    </row>
    <row r="28" spans="1:4" x14ac:dyDescent="0.25">
      <c r="A28" t="s">
        <v>252</v>
      </c>
      <c r="B28" s="8"/>
      <c r="D28" t="s">
        <v>245</v>
      </c>
    </row>
  </sheetData>
  <sheetProtection sheet="1" objects="1" scenarios="1"/>
  <protectedRanges>
    <protectedRange sqref="B4:B28"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promptTitle="Type of Chromatography" prompt="Type of Chromatography used for method." xr:uid="{33276D27-3AF3-4F0C-ADA0-6FA137D23B50}">
          <x14:formula1>
            <xm:f>Input_Validation!$B$3:$B$6</xm:f>
          </x14:formula1>
          <xm:sqref>B4</xm:sqref>
        </x14:dataValidation>
        <x14:dataValidation type="list" allowBlank="1" showInputMessage="1" showErrorMessage="1" promptTitle="Chromatograph Vendor" prompt="Vendor/Manufacturer of the chromatograph used" xr:uid="{996C782A-B601-4B80-939F-9268A20C11D5}">
          <x14:formula1>
            <xm:f>Input_Validation!$C$3:$C$9</xm:f>
          </x14:formula1>
          <xm:sqref>B5</xm:sqref>
        </x14:dataValidation>
        <x14:dataValidation type="list" allowBlank="1" showInputMessage="1" showErrorMessage="1" promptTitle="Sample Solvent" prompt="Primary solvent consistuent of the sample, as injected." xr:uid="{CC659C82-18C9-4347-861A-0FB4B7009EDF}">
          <x14:formula1>
            <xm:f>Input_Validation!$D$3:$D$11</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CD774ACB-FDAE-42E9-80EB-DC326EB39A82}">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70DEB4F9-49B1-4631-BD45-02C2ED49D889}">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06B8548-FB7F-4F10-A031-29E731FAF328}">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3B0EEF07-B814-44E6-AF5A-BDBFE4F0AE9A}">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5157439B-C44E-44B3-8C3E-5472AE3525D1}">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A7B38D0D-2A1F-496A-9528-22E706B339F6}">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0A70200A-577C-4647-ABE0-478AD0B4B9E7}">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B15</xm:sqref>
        </x14:dataValidation>
        <x14:dataValidation type="list" allowBlank="1" showInputMessage="1" showErrorMessage="1" promptTitle="Analytical Column Vendor" prompt="Vendor/Manufacturer of the analytical column" xr:uid="{8A9AF21F-BB99-4DCE-94F1-1C88A4DA91BD}">
          <x14:formula1>
            <xm:f>Input_Validation!$M$3:$M$10</xm:f>
          </x14:formula1>
          <xm:sqref>B16</xm:sqref>
        </x14:dataValidation>
        <x14:dataValidation type="list" allowBlank="1" showInputMessage="1" showErrorMessage="1" promptTitle="Analytical Column Phase" prompt="Stationary phase chemistry/ligand of the chromatography column" xr:uid="{5C7835BA-7453-4007-B0BC-BC2B34130A87}">
          <x14:formula1>
            <xm:f>Input_Validation!$N$3:$N$11</xm:f>
          </x14:formula1>
          <xm:sqref>B18</xm:sqref>
        </x14:dataValidation>
        <x14:dataValidation type="list" allowBlank="1" showInputMessage="1" showErrorMessage="1" promptTitle="Guard Column Vendor" prompt="Vendor/Manufacturer of the guard column, use &quot;none&quot; if not used." xr:uid="{6A0A3D2E-A4CF-48FA-B35C-3FB79D2AABF9}">
          <x14:formula1>
            <xm:f>Input_Validation!$O$3:$O$11</xm:f>
          </x14:formula1>
          <xm:sqref>B22</xm:sqref>
        </x14:dataValidation>
        <x14:dataValidation type="list" allowBlank="1" showInputMessage="1" showErrorMessage="1" promptTitle="Guard Column Phase" prompt="Stationary phase chemistry/ligand of the chromatography column, use 'none' if not used." xr:uid="{7F8970B7-B85D-47D0-859B-6F0781B90F1A}">
          <x14:formula1>
            <xm:f>Input_Validation!$P$3:$P$11</xm:f>
          </x14:formula1>
          <xm:sqref>B24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1"/>
  <sheetViews>
    <sheetView workbookViewId="0">
      <selection activeCell="B4" sqref="B4:B20"/>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30</v>
      </c>
    </row>
    <row r="2" spans="1:4" x14ac:dyDescent="0.25">
      <c r="A2" s="1" t="s">
        <v>6</v>
      </c>
    </row>
    <row r="3" spans="1:4" x14ac:dyDescent="0.25">
      <c r="A3" s="1" t="s">
        <v>4</v>
      </c>
      <c r="B3" s="4" t="s">
        <v>3</v>
      </c>
      <c r="C3" s="4"/>
      <c r="D3" s="1" t="s">
        <v>239</v>
      </c>
    </row>
    <row r="4" spans="1:4" x14ac:dyDescent="0.25">
      <c r="A4" t="s">
        <v>31</v>
      </c>
      <c r="B4" s="11"/>
      <c r="D4" t="s">
        <v>141</v>
      </c>
    </row>
    <row r="5" spans="1:4" x14ac:dyDescent="0.25">
      <c r="A5" t="s">
        <v>139</v>
      </c>
      <c r="B5" s="11"/>
      <c r="D5" t="s">
        <v>140</v>
      </c>
    </row>
    <row r="6" spans="1:4" x14ac:dyDescent="0.25">
      <c r="A6" t="s">
        <v>32</v>
      </c>
      <c r="B6" s="11"/>
      <c r="D6" t="s">
        <v>246</v>
      </c>
    </row>
    <row r="7" spans="1:4" x14ac:dyDescent="0.25">
      <c r="A7" t="s">
        <v>34</v>
      </c>
      <c r="B7" s="11"/>
      <c r="D7" t="s">
        <v>36</v>
      </c>
    </row>
    <row r="8" spans="1:4" x14ac:dyDescent="0.25">
      <c r="A8" t="s">
        <v>240</v>
      </c>
      <c r="B8" s="11"/>
      <c r="D8" t="s">
        <v>247</v>
      </c>
    </row>
    <row r="9" spans="1:4" x14ac:dyDescent="0.25">
      <c r="A9" t="s">
        <v>37</v>
      </c>
      <c r="B9" s="11"/>
      <c r="D9" t="s">
        <v>39</v>
      </c>
    </row>
    <row r="10" spans="1:4" x14ac:dyDescent="0.25">
      <c r="A10" t="s">
        <v>40</v>
      </c>
      <c r="B10" s="11"/>
      <c r="D10" t="s">
        <v>42</v>
      </c>
    </row>
    <row r="11" spans="1:4" x14ac:dyDescent="0.25">
      <c r="A11" t="s">
        <v>43</v>
      </c>
      <c r="B11" s="11"/>
      <c r="D11" t="s">
        <v>45</v>
      </c>
    </row>
    <row r="12" spans="1:4" x14ac:dyDescent="0.25">
      <c r="A12" t="s">
        <v>186</v>
      </c>
      <c r="B12" s="11"/>
      <c r="D12" t="s">
        <v>47</v>
      </c>
    </row>
    <row r="13" spans="1:4" x14ac:dyDescent="0.25">
      <c r="A13" t="s">
        <v>241</v>
      </c>
      <c r="B13" s="11"/>
      <c r="D13" t="s">
        <v>248</v>
      </c>
    </row>
    <row r="14" spans="1:4" x14ac:dyDescent="0.25">
      <c r="A14" t="s">
        <v>188</v>
      </c>
      <c r="B14" s="11"/>
      <c r="D14" t="s">
        <v>249</v>
      </c>
    </row>
    <row r="15" spans="1:4" x14ac:dyDescent="0.25">
      <c r="A15" t="s">
        <v>189</v>
      </c>
      <c r="B15" s="11"/>
      <c r="D15" t="s">
        <v>250</v>
      </c>
    </row>
    <row r="16" spans="1:4" x14ac:dyDescent="0.25">
      <c r="A16" t="s">
        <v>59</v>
      </c>
      <c r="B16" s="11"/>
      <c r="D16" t="s">
        <v>60</v>
      </c>
    </row>
    <row r="17" spans="1:4" x14ac:dyDescent="0.25">
      <c r="A17" t="s">
        <v>61</v>
      </c>
      <c r="B17" s="11"/>
      <c r="D17" t="s">
        <v>62</v>
      </c>
    </row>
    <row r="18" spans="1:4" x14ac:dyDescent="0.25">
      <c r="A18" t="s">
        <v>190</v>
      </c>
      <c r="B18" s="11"/>
      <c r="D18" t="s">
        <v>134</v>
      </c>
    </row>
    <row r="19" spans="1:4" x14ac:dyDescent="0.25">
      <c r="A19" t="s">
        <v>135</v>
      </c>
      <c r="B19" s="11"/>
      <c r="D19" t="s">
        <v>137</v>
      </c>
    </row>
    <row r="20" spans="1:4" x14ac:dyDescent="0.25">
      <c r="A20" t="s">
        <v>136</v>
      </c>
      <c r="B20" s="11"/>
      <c r="D20" t="s">
        <v>138</v>
      </c>
    </row>
    <row r="21" spans="1:4" x14ac:dyDescent="0.25">
      <c r="A21" t="s">
        <v>251</v>
      </c>
      <c r="B21" s="15"/>
      <c r="D21" t="s">
        <v>245</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type="decimal"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formula1>0</formula1>
      <formula2>1000000</formula2>
    </dataValidation>
    <dataValidation type="decimal" allowBlank="1" showInputMessage="1" showErrorMessage="1" promptTitle="Ionization Voltage/Current Value" prompt="Voltage/current applied for ionization, use below cell to indicate units."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47ECBEA3-822F-4B73-9A4D-32E62B61BBF0}">
          <x14:formula1>
            <xm:f>Input_Validation!$Q$3:$Q$8</xm:f>
          </x14:formula1>
          <xm:sqref>B4</xm:sqref>
        </x14:dataValidation>
        <x14:dataValidation type="list" allowBlank="1" showInputMessage="1" showErrorMessage="1" promptTitle="Ionization Mode" prompt="Mode of ionization of the mass spectrometer." xr:uid="{7012CBBC-E83E-41F7-A276-FCB7F574F3E3}">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E686BFB0-B819-4038-B9B9-B38CF32A2A80}">
          <x14:formula1>
            <xm:f>Input_Validation!$S$3:$S$4</xm:f>
          </x14:formula1>
          <xm:sqref>B7</xm:sqref>
        </x14:dataValidation>
        <x14:dataValidation type="list" allowBlank="1" showInputMessage="1" showErrorMessage="1" promptTitle="Ionization Voltage/Current Units" prompt="Units for the above-noted ionization voltage or current." xr:uid="{E5F6DADF-2EEA-40D4-96B6-3B1213971550}">
          <x14:formula1>
            <xm:f>Input_Validation!$T$3:$T$7</xm:f>
          </x14:formula1>
          <xm:sqref>B9</xm:sqref>
        </x14:dataValidation>
        <x14:dataValidation type="list" allowBlank="1" showInputMessage="1" showErrorMessage="1" promptTitle="First Mass Analyzer" prompt="First mass analyzer in the mass spectrometer." xr:uid="{6F78B77E-9123-478F-A600-E338A7666D0A}">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A0ED6EDA-3303-48A3-9EF2-DF1E1338D692}">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D2E5997F-A9CD-4813-B52C-C44067ADB3DC}">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4573FA57-E721-4C25-AFAA-7B3092787386}">
          <x14:formula1>
            <xm:f>Input_Validation!$X$3:$X$4</xm:f>
          </x14:formula1>
          <xm:sqref>B14</xm:sqref>
        </x14:dataValidation>
        <x14:dataValidation type="list" allowBlank="1" showInputMessage="1" showErrorMessage="1" promptTitle="Fragmentation Energy Units" prompt="Units of the fragmentation/collision energy value above." xr:uid="{BBB994BB-E18F-4DB3-AD79-95271E01539B}">
          <x14:formula1>
            <xm:f>Input_Validation!$Y$3:$Y$4</xm:f>
          </x14:formula1>
          <xm:sqref>B15</xm:sqref>
        </x14:dataValidation>
        <x14:dataValidation type="list" allowBlank="1" showInputMessage="1" showErrorMessage="1" promptTitle="MS2 Experiment" prompt="Type of fragmentation/MS2 experiment." xr:uid="{FC39B8DB-DA91-4F3F-AB2A-7A494BEC5CEB}">
          <x14:formula1>
            <xm:f>Input_Validation!$Z$3:$Z$6</xm:f>
          </x14:formula1>
          <xm:sqref>B16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E8"/>
  <sheetViews>
    <sheetView workbookViewId="0">
      <selection activeCell="B22" sqref="B22"/>
    </sheetView>
  </sheetViews>
  <sheetFormatPr defaultRowHeight="15" x14ac:dyDescent="0.25"/>
  <cols>
    <col min="1" max="1" width="28" bestFit="1" customWidth="1"/>
    <col min="2" max="2" width="22.28515625" style="3" bestFit="1" customWidth="1"/>
    <col min="3" max="4" width="22.28515625" style="3" customWidth="1"/>
    <col min="5" max="5" width="14.5703125" bestFit="1" customWidth="1"/>
  </cols>
  <sheetData>
    <row r="1" spans="1:5" ht="18.75" x14ac:dyDescent="0.3">
      <c r="A1" s="2" t="s">
        <v>53</v>
      </c>
    </row>
    <row r="2" spans="1:5" x14ac:dyDescent="0.25">
      <c r="A2" s="1" t="s">
        <v>6</v>
      </c>
    </row>
    <row r="3" spans="1:5" x14ac:dyDescent="0.25">
      <c r="A3" s="1" t="s">
        <v>4</v>
      </c>
      <c r="B3" s="4" t="s">
        <v>3</v>
      </c>
      <c r="C3" s="4" t="s">
        <v>255</v>
      </c>
      <c r="D3" s="4"/>
      <c r="E3" s="1" t="s">
        <v>239</v>
      </c>
    </row>
    <row r="4" spans="1:5" x14ac:dyDescent="0.25">
      <c r="A4" t="s">
        <v>254</v>
      </c>
      <c r="B4" s="11"/>
      <c r="C4" s="11"/>
      <c r="E4" t="s">
        <v>52</v>
      </c>
    </row>
    <row r="5" spans="1:5" x14ac:dyDescent="0.25">
      <c r="A5" t="s">
        <v>48</v>
      </c>
      <c r="B5" s="11"/>
      <c r="C5" s="11"/>
      <c r="E5" t="s">
        <v>52</v>
      </c>
    </row>
    <row r="6" spans="1:5" x14ac:dyDescent="0.25">
      <c r="A6" t="s">
        <v>49</v>
      </c>
      <c r="B6" s="11"/>
      <c r="C6" s="11"/>
      <c r="E6" t="s">
        <v>52</v>
      </c>
    </row>
    <row r="7" spans="1:5" x14ac:dyDescent="0.25">
      <c r="A7" t="s">
        <v>50</v>
      </c>
      <c r="B7" s="11"/>
      <c r="C7" s="11"/>
      <c r="E7" t="s">
        <v>52</v>
      </c>
    </row>
    <row r="8" spans="1:5" x14ac:dyDescent="0.25">
      <c r="A8" t="s">
        <v>51</v>
      </c>
      <c r="B8" s="11"/>
      <c r="C8" s="11"/>
      <c r="E8" t="s">
        <v>52</v>
      </c>
    </row>
  </sheetData>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C41BBC01-2305-40A5-BFD4-23F1CFC04876}">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58F5D5A3-44F3-4B8B-B34C-C19A6819585E}">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DEA0835D-0894-4E98-8871-398EA0597B26}">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9946E300-EFD3-4B71-B5E0-1F94AA1681CE}">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5A3DA08E-7BF9-4C8D-AFC2-62151558F565}">
          <x14:formula1>
            <xm:f>Input_Validation!$AE$3:$AE$4</xm:f>
          </x14:formula1>
          <xm:sqref>B8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F17" sqref="F17"/>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30</v>
      </c>
      <c r="B1" s="10"/>
      <c r="C1" s="10"/>
    </row>
    <row r="2" spans="1:8" x14ac:dyDescent="0.25">
      <c r="A2" s="1" t="s">
        <v>6</v>
      </c>
      <c r="B2" s="10"/>
      <c r="C2" s="10"/>
    </row>
    <row r="3" spans="1:8" x14ac:dyDescent="0.25">
      <c r="A3" s="5" t="s">
        <v>63</v>
      </c>
      <c r="B3" s="9" t="s">
        <v>191</v>
      </c>
      <c r="C3" s="5" t="s">
        <v>194</v>
      </c>
      <c r="D3" s="5" t="s">
        <v>64</v>
      </c>
      <c r="E3" s="5" t="s">
        <v>65</v>
      </c>
      <c r="F3" s="5" t="s">
        <v>66</v>
      </c>
      <c r="G3" s="5" t="s">
        <v>67</v>
      </c>
      <c r="H3" s="5" t="s">
        <v>205</v>
      </c>
    </row>
    <row r="4" spans="1:8" x14ac:dyDescent="0.25">
      <c r="A4" s="13"/>
      <c r="D4" s="13"/>
      <c r="E4" s="13"/>
      <c r="F4" s="13"/>
      <c r="G4" s="13"/>
      <c r="H4" s="13"/>
    </row>
    <row r="5" spans="1:8" x14ac:dyDescent="0.25">
      <c r="A5" s="13"/>
      <c r="D5" s="13"/>
      <c r="E5" s="13"/>
      <c r="F5" s="13"/>
      <c r="G5" s="13"/>
      <c r="H5" s="13"/>
    </row>
    <row r="6" spans="1:8" x14ac:dyDescent="0.25">
      <c r="A6" s="13"/>
      <c r="D6" s="13"/>
      <c r="E6" s="13"/>
      <c r="F6" s="13"/>
      <c r="G6" s="13"/>
      <c r="H6" s="13"/>
    </row>
    <row r="7" spans="1:8" x14ac:dyDescent="0.25">
      <c r="H7" s="13"/>
    </row>
    <row r="9" spans="1:8" x14ac:dyDescent="0.25">
      <c r="H9" s="13"/>
    </row>
    <row r="10" spans="1:8" x14ac:dyDescent="0.25">
      <c r="H10" s="13"/>
    </row>
    <row r="12" spans="1:8" x14ac:dyDescent="0.25">
      <c r="E12" s="13"/>
      <c r="F12" s="13"/>
      <c r="G12" s="13"/>
      <c r="H12" s="13"/>
    </row>
    <row r="14" spans="1:8" x14ac:dyDescent="0.25">
      <c r="H14" s="13"/>
    </row>
    <row r="15" spans="1:8" x14ac:dyDescent="0.25">
      <c r="H15" s="13"/>
    </row>
    <row r="16" spans="1:8" x14ac:dyDescent="0.25">
      <c r="A16" s="13"/>
      <c r="D16" s="13"/>
      <c r="E16" s="13"/>
      <c r="F16" s="13"/>
      <c r="G16" s="13"/>
      <c r="H16" s="13"/>
    </row>
    <row r="17" spans="1:8" x14ac:dyDescent="0.25">
      <c r="A17" s="13"/>
      <c r="D17" s="13"/>
      <c r="E17" s="13"/>
      <c r="F17" s="13"/>
      <c r="G17" s="13"/>
      <c r="H17" s="13"/>
    </row>
    <row r="18" spans="1:8" x14ac:dyDescent="0.25">
      <c r="A18" s="13"/>
      <c r="D18" s="13"/>
      <c r="E18" s="13"/>
      <c r="F18" s="13"/>
      <c r="G18" s="13"/>
      <c r="H18" s="13"/>
    </row>
    <row r="19" spans="1:8" x14ac:dyDescent="0.25">
      <c r="A19" s="13"/>
      <c r="D19" s="13"/>
      <c r="E19" s="13"/>
      <c r="F19" s="13"/>
      <c r="G19" s="13"/>
      <c r="H19" s="13"/>
    </row>
    <row r="20" spans="1:8" x14ac:dyDescent="0.25">
      <c r="A20" s="13"/>
      <c r="D20" s="13"/>
      <c r="E20" s="13"/>
      <c r="F20" s="13"/>
      <c r="G20" s="13"/>
      <c r="H20" s="13"/>
    </row>
    <row r="21" spans="1:8" x14ac:dyDescent="0.25">
      <c r="A21" s="13"/>
      <c r="D21" s="13"/>
      <c r="E21" s="13"/>
      <c r="F21" s="13"/>
      <c r="G21" s="13"/>
      <c r="H21" s="13"/>
    </row>
    <row r="22" spans="1:8" x14ac:dyDescent="0.25">
      <c r="A22" s="13"/>
      <c r="D22" s="13"/>
      <c r="E22" s="13"/>
      <c r="F22" s="13"/>
      <c r="G22" s="13"/>
      <c r="H22" s="13"/>
    </row>
    <row r="23" spans="1:8" x14ac:dyDescent="0.25">
      <c r="A23" s="13"/>
      <c r="D23" s="13"/>
      <c r="E23" s="13"/>
      <c r="F23" s="13"/>
      <c r="G23" s="13"/>
      <c r="H23" s="13"/>
    </row>
    <row r="24" spans="1:8" x14ac:dyDescent="0.25">
      <c r="A24" s="13"/>
      <c r="D24" s="13"/>
      <c r="E24" s="13"/>
      <c r="F24" s="13"/>
      <c r="G24" s="13"/>
      <c r="H24" s="13"/>
    </row>
    <row r="25" spans="1:8" x14ac:dyDescent="0.25">
      <c r="A25" s="13"/>
      <c r="D25" s="13"/>
      <c r="E25" s="13"/>
      <c r="F25" s="13"/>
      <c r="G25" s="13"/>
      <c r="H25" s="13"/>
    </row>
    <row r="26" spans="1:8" x14ac:dyDescent="0.25">
      <c r="A26" s="13"/>
      <c r="D26" s="13"/>
      <c r="E26" s="13"/>
      <c r="F26" s="13"/>
      <c r="G26" s="13"/>
      <c r="H26" s="13"/>
    </row>
    <row r="27" spans="1:8" x14ac:dyDescent="0.25">
      <c r="A27" s="13"/>
      <c r="D27" s="13"/>
      <c r="E27" s="13"/>
      <c r="F27" s="13"/>
      <c r="G27" s="13"/>
      <c r="H27" s="13"/>
    </row>
    <row r="28" spans="1:8" x14ac:dyDescent="0.25">
      <c r="A28" s="13"/>
      <c r="D28" s="13"/>
      <c r="E28" s="13"/>
      <c r="F28" s="13"/>
      <c r="G28" s="13"/>
      <c r="H28" s="13"/>
    </row>
    <row r="29" spans="1:8" x14ac:dyDescent="0.25">
      <c r="A29" s="13"/>
      <c r="D29" s="13"/>
      <c r="E29" s="13"/>
      <c r="F29" s="13"/>
      <c r="G29" s="13"/>
      <c r="H29" s="13"/>
    </row>
    <row r="30" spans="1:8" x14ac:dyDescent="0.25">
      <c r="A30" s="13"/>
      <c r="D30" s="13"/>
      <c r="E30" s="13"/>
      <c r="F30" s="13"/>
      <c r="G30" s="13"/>
      <c r="H30" s="13"/>
    </row>
    <row r="31" spans="1:8" x14ac:dyDescent="0.25">
      <c r="A31" s="13"/>
      <c r="D31" s="13"/>
      <c r="E31" s="13"/>
      <c r="F31" s="13"/>
      <c r="G31" s="13"/>
      <c r="H31" s="13"/>
    </row>
    <row r="39" spans="1:8" x14ac:dyDescent="0.25">
      <c r="A39" s="13"/>
      <c r="D39" s="13"/>
      <c r="E39" s="13"/>
      <c r="F39" s="13"/>
      <c r="G39" s="13"/>
      <c r="H39" s="13"/>
    </row>
  </sheetData>
  <sheetProtection sheet="1" objects="1" scenarios="1"/>
  <protectedRanges>
    <protectedRange sqref="A4:H1048576" name="peaks"/>
  </protectedRanges>
  <dataValidations xWindow="344" yWindow="297"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1:H1048576 H39 H14:H31 H12 H4:H7 H9:H10"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Run</vt:lpstr>
      <vt:lpstr>Input_Validation</vt:lpstr>
      <vt:lpstr>Sample_Input</vt:lpstr>
      <vt:lpstr>Import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2021-10-07T13:54:38Z</dcterms:modified>
</cp:coreProperties>
</file>