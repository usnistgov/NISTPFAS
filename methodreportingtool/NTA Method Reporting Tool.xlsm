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4761968D-5BC4-4BC2-8E3D-7494F617EB3A}" xr6:coauthVersionLast="47" xr6:coauthVersionMax="47" xr10:uidLastSave="{00000000-0000-0000-0000-000000000000}"/>
  <bookViews>
    <workbookView xWindow="-120" yWindow="-120" windowWidth="29040" windowHeight="15840" activeTab="7"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<sst xmlns="http://schemas.openxmlformats.org/spreadsheetml/2006/main" count="421" uniqueCount="264">
  <si>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</si>
  <si>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</si>
  <si>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</si>
  <si>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</si>
  <si>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</si>
  <si>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</si>
  <si>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</si>
  <si>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</si>
  <si>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</si>
  <si>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</si>
  <si>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</si>
  <si>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</si>
  <si>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</si>
  <si>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</si>
  <si>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</si>
  <si>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</si>
  <si>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</si>
  <si>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</si>
  <si>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</si>
  <si>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</si>
  <si>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</si>
  <si>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</si>
  <si>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</si>
  <si>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</si>
  <si>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</si>
  <si>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</si>
  <si>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</si>
  <si>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</si>
  <si>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</si>
  <si>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</si>
  <si>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</si>
  <si>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</si>
  <si>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</si>
  <si>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</si>
  <si>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</si>
  <si>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</si>
  <si>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</si>
  <si>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</si>
  <si>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</si>
  <si>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</si>
  <si>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</si>
  <si>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</si>
  <si>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</si>
  <si>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</si>
  <si>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</si>
  <si>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</si>
  <si>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</si>
  <si>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</si>
  <si>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</si>
  <si>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</si>
  <si>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</si>
  <si>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</si>
  <si>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</si>
  <si>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</si>
  <si>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</si>
  <si>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</si>
  <si>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</si>
  <si>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</si>
  <si>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</si>
  <si>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</si>
  <si>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</si>
  <si>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</si>
  <si>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</si>
  <si>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</si>
  <si>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</si>
  <si>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</si>
  <si>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</si>
  <si>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</si>
  <si>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</si>
  <si>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</si>
  <si>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</si>
  <si>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</si>
  <si>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</si>
  <si>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</si>
  <si>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</si>
  <si>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</si>
  <si>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</si>
  <si>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</si>
  <si>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</si>
  <si>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</si>
  <si>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</si>
  <si>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</si>
  <si>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</si>
  <si>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</si>
  <si>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</si>
  <si>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</si>
  <si>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</si>
  <si>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</si>
  <si>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</si>
  <si>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</si>
  <si>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</si>
  <si>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</si>
  <si>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</si>
  <si>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</si>
  <si>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</si>
  <si>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</si>
  <si>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</si>
  <si>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</si>
  <si>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</si>
  <si>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</si>
  <si>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</si>
  <si>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</si>
  <si>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</si>
  <si>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</si>
  <si>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</si>
  <si>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</si>
  <si>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</si>
  <si>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</si>
  <si>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</si>
  <si>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</si>
  <si>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</si>
  <si>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</si>
  <si>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</si>
  <si>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</si>
  <si>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</si>
  <si>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</si>
  <si>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</si>
  <si>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</si>
  <si>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</si>
  <si>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</si>
  <si>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</si>
  <si>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</si>
  <si>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</si>
  <si>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</si>
  <si>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</si>
  <si>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</si>
  <si>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</si>
  <si>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</si>
  <si>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</si>
  <si>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</si>
  <si>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</si>
  <si>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</si>
  <si>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</si>
  <si>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</si>
  <si>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</si>
  <si>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</si>
  <si>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</si>
  <si>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</si>
  <si>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</si>
  <si>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</si>
  <si>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</si>
  <si>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</si>
  <si>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</si>
  <si>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</si>
  <si>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</si>
  <si>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</si>
  <si>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</si>
  <si>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</si>
  <si>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</si>
  <si>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</si>
  <si>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</si>
  <si>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</si>
  <si>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</si>
  <si>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</si>
  <si>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</si>
  <si>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</si>
  <si>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</si>
  <si>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</si>
  <si>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</si>
  <si>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</si>
  <si>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</si>
  <si>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</si>
  <si>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</si>
  <si>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</si>
  <si>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</si>
  <si>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</si>
  <si>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</si>
  <si>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</si>
  <si>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</si>
  <si>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</si>
  <si>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</si>
  <si>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</si>
  <si>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</si>
  <si>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</si>
  <si>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</si>
  <si>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</si>
  <si>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</si>
  <si>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</si>
  <si>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</si>
  <si>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</si>
  <si>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</si>
  <si>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</si>
  <si>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</si>
  <si>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</si>
  <si>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</si>
  <si>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</si>
  <si>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</si>
  <si>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</si>
  <si>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</si>
  <si>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</si>
  <si>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</si>
  <si>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</si>
  <si>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</si>
  <si>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</si>
  <si>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</si>
  <si>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</si>
  <si>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</si>
  <si>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</si>
  <si>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</si>
  <si>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</si>
  <si>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</si>
  <si>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</si>
  <si>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</si>
  <si>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</si>
  <si>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</si>
  <si>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</si>
  <si>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</si>
  <si>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</si>
  <si>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</si>
  <si>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</si>
  <si>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</si>
  <si>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</si>
  <si>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</si>
  <si>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</si>
  <si>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</si>
  <si>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</si>
  <si>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</si>
  <si>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</si>
  <si>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</si>
  <si>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</si>
  <si>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</si>
  <si>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</si>
  <si>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</si>
  <si>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</si>
  <si>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</si>
  <si>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</si>
  <si>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</si>
  <si>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</si>
  <si>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</si>
  <si>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</si>
  <si>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</si>
  <si>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</si>
  <si>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</si>
  <si>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</si>
  <si>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</si>
  <si>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</si>
  <si>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</si>
  <si>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</si>
  <si>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</si>
  <si>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</si>
  <si>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</si>
  <si>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</si>
  <si>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</si>
  <si>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</si>
  <si>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</si>
  <si>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</si>
  <si>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</si>
  <si>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</si>
  <si>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</si>
  <si>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</si>
  <si>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</si>
  <si>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</si>
  <si>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</si>
  <si>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</si>
  <si>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</si>
  <si>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</si>
  <si>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</si>
  <si>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</si>
  <si>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</si>
  <si>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</si>
  <si>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</si>
  <si>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</si>
  <si>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</si>
  <si>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Version 1.3 updated 2/2/2022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</si>
</sst>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data.nist.gov/od/id/mds2-2387" TargetMode="Externa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workbookViewId="0">
      <selection activeCell="P10" sqref="P10"/>
    </sheetView>
  </sheetViews>
  <sheetFormatPr defaultRowHeight="15" x14ac:dyDescent="0.25"/>
  <cols>
    <col min="2" max="2" width="30.140625" customWidth="1"/>
  </cols>
  <sheetData>
    <row r="1" spans="1:3" ht="21" x14ac:dyDescent="0.35">
      <c r="A1" s="6" t="s">
        <v>106</v>
      </c>
    </row>
    <row r="2" spans="1:3" x14ac:dyDescent="0.25">
      <c r="C2" s="12" t="s">
        <v>263</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259</v>
      </c>
    </row>
    <row r="24" spans="1:2" x14ac:dyDescent="0.25">
      <c r="B24" t="s">
        <v>260</v>
      </c>
    </row>
    <row r="26" spans="1:2" x14ac:dyDescent="0.25">
      <c r="B26" t="s">
        <v>261</v>
      </c>
    </row>
    <row r="28" spans="1:2" x14ac:dyDescent="0.25">
      <c r="B28" t="s">
        <v>262</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workbookViewId="0">
      <selection activeCell="N2" sqref="N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row>
    <row r="2" spans="1:32" ht="18.75" customHeight="1" x14ac:dyDescent="0.25">
      <c r="A2" t="s">
        <v>197</v>
      </c>
      <c r="B2" t="s">
        <v>198</v>
      </c>
      <c r="C2" t="s">
        <v>199</v>
      </c>
      <c r="D2" t="s">
        <v>200</v>
      </c>
      <c r="E2" t="s">
        <v>201</v>
      </c>
      <c r="F2" t="s">
        <v>202</v>
      </c>
      <c r="G2" t="s">
        <v>203</v>
      </c>
      <c r="H2" t="s">
        <v>204</v>
      </c>
      <c r="I2" t="s">
        <v>205</v>
      </c>
      <c r="J2" t="s">
        <v>206</v>
      </c>
      <c r="K2" t="s">
        <v>207</v>
      </c>
      <c r="L2" t="s">
        <v>208</v>
      </c>
      <c r="M2" t="s">
        <v>209</v>
      </c>
      <c r="N2" t="s">
        <v>210</v>
      </c>
      <c r="O2" t="s">
        <v>211</v>
      </c>
      <c r="P2" t="s">
        <v>212</v>
      </c>
      <c r="Q2" t="s">
        <v>213</v>
      </c>
      <c r="R2" t="s">
        <v>214</v>
      </c>
      <c r="S2" t="s">
        <v>215</v>
      </c>
      <c r="T2" t="s">
        <v>216</v>
      </c>
      <c r="U2" t="s">
        <v>217</v>
      </c>
      <c r="V2" t="s">
        <v>218</v>
      </c>
      <c r="W2" t="s">
        <v>219</v>
      </c>
      <c r="X2" t="s">
        <v>220</v>
      </c>
      <c r="Y2" t="s">
        <v>221</v>
      </c>
      <c r="Z2" s="11" t="s">
        <v>228</v>
      </c>
      <c r="AA2" s="11" t="s">
        <v>223</v>
      </c>
      <c r="AB2" s="11" t="s">
        <v>224</v>
      </c>
      <c r="AC2" s="11" t="s">
        <v>225</v>
      </c>
      <c r="AD2" s="11" t="s">
        <v>226</v>
      </c>
      <c r="AE2" s="11" t="s">
        <v>227</v>
      </c>
      <c r="AF2" t="s">
        <v>222</v>
      </c>
    </row>
    <row r="3" spans="1:32"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245</v>
      </c>
      <c r="S3" t="s">
        <v>34</v>
      </c>
      <c r="T3" t="s">
        <v>37</v>
      </c>
      <c r="U3" t="s">
        <v>14</v>
      </c>
      <c r="V3" t="s">
        <v>14</v>
      </c>
      <c r="W3" t="s">
        <v>178</v>
      </c>
      <c r="X3" t="s">
        <v>118</v>
      </c>
      <c r="Y3" t="s">
        <v>117</v>
      </c>
      <c r="Z3" t="s">
        <v>14</v>
      </c>
      <c r="AA3" t="b">
        <v>1</v>
      </c>
      <c r="AB3" t="b">
        <v>1</v>
      </c>
      <c r="AC3" t="b">
        <v>1</v>
      </c>
      <c r="AD3" t="b">
        <v>1</v>
      </c>
      <c r="AE3" t="b">
        <v>1</v>
      </c>
      <c r="AF3" t="s">
        <v>186</v>
      </c>
    </row>
    <row r="4" spans="1:32"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246</v>
      </c>
      <c r="S4" t="s">
        <v>107</v>
      </c>
      <c r="T4" t="s">
        <v>110</v>
      </c>
      <c r="U4" t="s">
        <v>114</v>
      </c>
      <c r="V4" t="s">
        <v>114</v>
      </c>
      <c r="W4" t="s">
        <v>45</v>
      </c>
      <c r="X4" t="s">
        <v>119</v>
      </c>
      <c r="Y4" t="s">
        <v>37</v>
      </c>
      <c r="Z4" t="s">
        <v>249</v>
      </c>
      <c r="AA4" t="b">
        <v>0</v>
      </c>
      <c r="AB4" t="b">
        <v>0</v>
      </c>
      <c r="AC4" t="b">
        <v>0</v>
      </c>
      <c r="AD4" t="b">
        <v>0</v>
      </c>
      <c r="AE4" t="b">
        <v>0</v>
      </c>
      <c r="AF4" t="s">
        <v>185</v>
      </c>
    </row>
    <row r="5" spans="1:32"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248</v>
      </c>
      <c r="T5" t="s">
        <v>111</v>
      </c>
      <c r="U5" t="s">
        <v>43</v>
      </c>
      <c r="V5" t="s">
        <v>43</v>
      </c>
      <c r="W5" t="s">
        <v>115</v>
      </c>
      <c r="Z5" t="s">
        <v>250</v>
      </c>
      <c r="AF5" t="s">
        <v>188</v>
      </c>
    </row>
    <row r="6" spans="1:32"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247</v>
      </c>
      <c r="T6" t="s">
        <v>108</v>
      </c>
      <c r="U6" t="s">
        <v>40</v>
      </c>
      <c r="V6" t="s">
        <v>40</v>
      </c>
      <c r="W6" t="s">
        <v>254</v>
      </c>
      <c r="Z6" t="s">
        <v>116</v>
      </c>
      <c r="AF6" t="s">
        <v>187</v>
      </c>
    </row>
    <row r="7" spans="1:32"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244</v>
      </c>
      <c r="T7" t="s">
        <v>109</v>
      </c>
      <c r="U7" t="s">
        <v>113</v>
      </c>
      <c r="V7" t="s">
        <v>113</v>
      </c>
      <c r="AF7" t="s">
        <v>189</v>
      </c>
    </row>
    <row r="8" spans="1:32"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row>
    <row r="9" spans="1:32"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2" x14ac:dyDescent="0.25">
      <c r="A10" t="s">
        <v>158</v>
      </c>
      <c r="D10" t="s">
        <v>155</v>
      </c>
      <c r="E10" t="s">
        <v>155</v>
      </c>
      <c r="G10" t="s">
        <v>155</v>
      </c>
      <c r="I10" t="s">
        <v>155</v>
      </c>
      <c r="K10" t="s">
        <v>155</v>
      </c>
      <c r="M10" t="s">
        <v>146</v>
      </c>
      <c r="N10" t="s">
        <v>147</v>
      </c>
      <c r="O10" t="s">
        <v>80</v>
      </c>
      <c r="P10" t="s">
        <v>147</v>
      </c>
      <c r="AF10" t="s">
        <v>194</v>
      </c>
    </row>
    <row r="11" spans="1:32" x14ac:dyDescent="0.25">
      <c r="A11" t="s">
        <v>74</v>
      </c>
      <c r="D11" t="s">
        <v>91</v>
      </c>
      <c r="E11" t="s">
        <v>91</v>
      </c>
      <c r="G11" t="s">
        <v>91</v>
      </c>
      <c r="I11" t="s">
        <v>91</v>
      </c>
      <c r="K11" t="s">
        <v>91</v>
      </c>
      <c r="N11" t="s">
        <v>151</v>
      </c>
      <c r="O11" t="s">
        <v>146</v>
      </c>
      <c r="P11" t="s">
        <v>151</v>
      </c>
      <c r="AF11" t="s">
        <v>192</v>
      </c>
    </row>
    <row r="12" spans="1:32" x14ac:dyDescent="0.25">
      <c r="A12" t="s">
        <v>69</v>
      </c>
      <c r="AF12" t="s">
        <v>193</v>
      </c>
    </row>
    <row r="13" spans="1:32" x14ac:dyDescent="0.25">
      <c r="A13" t="s">
        <v>159</v>
      </c>
    </row>
    <row r="14" spans="1:32" x14ac:dyDescent="0.25">
      <c r="A14" t="s">
        <v>196</v>
      </c>
    </row>
    <row r="15" spans="1:32" x14ac:dyDescent="0.25">
      <c r="A15" t="s">
        <v>75</v>
      </c>
    </row>
    <row r="16" spans="1:32"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229</v>
      </c>
    </row>
    <row r="4" spans="1:6" x14ac:dyDescent="0.25">
      <c r="A4" t="s">
        <v>54</v>
      </c>
      <c r="B4" s="13"/>
      <c r="D4" t="s">
        <v>62</v>
      </c>
      <c r="F4" s="16" t="s">
        <v>256</v>
      </c>
    </row>
    <row r="5" spans="1:6" x14ac:dyDescent="0.25">
      <c r="A5" t="s">
        <v>55</v>
      </c>
      <c r="B5" s="13"/>
      <c r="D5" t="s">
        <v>56</v>
      </c>
    </row>
    <row r="6" spans="1:6" x14ac:dyDescent="0.25">
      <c r="A6" t="s">
        <v>57</v>
      </c>
      <c r="B6" s="13"/>
      <c r="D6" t="s">
        <v>232</v>
      </c>
    </row>
    <row r="7" spans="1:6" x14ac:dyDescent="0.25">
      <c r="A7" t="s">
        <v>251</v>
      </c>
      <c r="B7" s="15"/>
      <c r="D7" t="s">
        <v>233</v>
      </c>
    </row>
    <row r="8" spans="1:6" x14ac:dyDescent="0.25">
      <c r="A8" t="s">
        <v>252</v>
      </c>
      <c r="B8" s="18"/>
      <c r="D8" t="s">
        <v>234</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24143A3A-5DE3-44D7-8746-EC05E1CAAC96}">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229</v>
      </c>
    </row>
    <row r="4" spans="1:6" x14ac:dyDescent="0.25">
      <c r="A4" t="s">
        <v>5</v>
      </c>
      <c r="B4" s="13"/>
      <c r="D4" t="s">
        <v>136</v>
      </c>
      <c r="F4" s="16" t="s">
        <v>256</v>
      </c>
    </row>
    <row r="5" spans="1:6" x14ac:dyDescent="0.25">
      <c r="A5" t="s">
        <v>27</v>
      </c>
      <c r="B5" s="13"/>
      <c r="D5" t="s">
        <v>29</v>
      </c>
      <c r="F5" s="20" t="s">
        <v>257</v>
      </c>
    </row>
    <row r="6" spans="1:6" x14ac:dyDescent="0.25">
      <c r="A6" t="s">
        <v>134</v>
      </c>
      <c r="B6" s="13"/>
      <c r="D6" t="s">
        <v>135</v>
      </c>
    </row>
    <row r="7" spans="1:6" x14ac:dyDescent="0.25">
      <c r="A7" t="s">
        <v>253</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241</v>
      </c>
      <c r="B28" s="17"/>
      <c r="D28" t="s">
        <v>234</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xm:sqref>
        </x14:dataValidation>
        <x14:dataValidation type="list" allowBlank="1" showInputMessage="1" showErrorMessage="1" promptTitle="Type of Chromatography" prompt="Type of Chromatography used for method." xr:uid="{24CF14C1-2753-4423-93EC-D72A43557197}">
          <x14:formula1>
            <xm:f>Input_Validation!$B$3:$B$6</xm:f>
          </x14:formula1>
          <xm:sqref>B4</xm:sqref>
        </x14:dataValidation>
        <x14:dataValidation type="list" allowBlank="1" showInputMessage="1" showErrorMessage="1" promptTitle="Chromatograph Vendor" prompt="Vendor/Manufacturer of the chromatograph used" xr:uid="{5B1CF3DA-D094-4EF6-B93E-B105D161D899}">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776CAD22-A986-42B8-BEFC-BD41906D77D9}">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65664295-D2E3-4C21-9498-B4F3C5D577AB}">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4B24A7F2-E123-466D-B8EB-7B60A90A29F4}">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BC9D8465-B1CF-4E89-91F2-A3BE3ABB260F}">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2B899DB2-08F5-4387-9C00-1C2E52FC761B}">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AE9F4F7-1E52-44EB-866F-D9743596AE18}">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3BAA6967-6986-4D53-B334-040C52E94D0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73317D2D-1978-43C7-BEC8-C005A73B6D0E}">
          <x14:formula1>
            <xm:f>Input_Validation!$L$3:$L$9</xm:f>
          </x14:formula1>
          <xm:sqref>B15</xm:sqref>
        </x14:dataValidation>
        <x14:dataValidation type="list" allowBlank="1" showInputMessage="1" showErrorMessage="1" promptTitle="Guard Column Vendor" prompt="Vendor/Manufacturer of the guard column, use &quot;none&quot; if not used." xr:uid="{DDF8ECD9-E8C6-4B7B-8CDB-0103D27765BD}">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29DE2255-76BA-423E-8A33-1CA3B380B366}">
          <x14:formula1>
            <xm:f>Input_Validation!$P$3:$P$11</xm:f>
          </x14:formula1>
          <xm:sqref>B18</xm:sqref>
        </x14:dataValidation>
        <x14:dataValidation type="list" allowBlank="1" showInputMessage="1" showErrorMessage="1" promptTitle="Analytical Column Vendor" prompt="Vendor/Manufacturer of the analytical column" xr:uid="{5E2F7CE2-848D-431B-869E-5C7F95854F50}">
          <x14:formula1>
            <xm:f>Input_Validation!$M$3:$M$10</xm:f>
          </x14:formula1>
          <xm:sqref>B22</xm:sqref>
        </x14:dataValidation>
        <x14:dataValidation type="list" allowBlank="1" showInputMessage="1" showErrorMessage="1" promptTitle="Analytical Column Phase" prompt="Stationary phase chemistry/ligand of the chromatography column" xr:uid="{7B796ECE-B9AC-4BC5-A391-432F67E864E9}">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229</v>
      </c>
    </row>
    <row r="4" spans="1:6" x14ac:dyDescent="0.25">
      <c r="A4" t="s">
        <v>31</v>
      </c>
      <c r="B4" s="13"/>
      <c r="D4" t="s">
        <v>133</v>
      </c>
      <c r="F4" s="16" t="s">
        <v>256</v>
      </c>
    </row>
    <row r="5" spans="1:6" x14ac:dyDescent="0.25">
      <c r="A5" t="s">
        <v>131</v>
      </c>
      <c r="B5" s="13"/>
      <c r="D5" t="s">
        <v>132</v>
      </c>
      <c r="F5" s="20" t="s">
        <v>257</v>
      </c>
    </row>
    <row r="6" spans="1:6" x14ac:dyDescent="0.25">
      <c r="A6" t="s">
        <v>32</v>
      </c>
      <c r="B6" s="13"/>
      <c r="D6" t="s">
        <v>235</v>
      </c>
    </row>
    <row r="7" spans="1:6" x14ac:dyDescent="0.25">
      <c r="A7" t="s">
        <v>33</v>
      </c>
      <c r="B7" s="13"/>
      <c r="D7" t="s">
        <v>35</v>
      </c>
    </row>
    <row r="8" spans="1:6" x14ac:dyDescent="0.25">
      <c r="A8" t="s">
        <v>230</v>
      </c>
      <c r="B8" s="13"/>
      <c r="D8" t="s">
        <v>236</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231</v>
      </c>
      <c r="B13" s="13"/>
      <c r="D13" t="s">
        <v>237</v>
      </c>
    </row>
    <row r="14" spans="1:6" x14ac:dyDescent="0.25">
      <c r="A14" t="s">
        <v>179</v>
      </c>
      <c r="B14" s="13"/>
      <c r="D14" t="s">
        <v>238</v>
      </c>
    </row>
    <row r="15" spans="1:6" x14ac:dyDescent="0.25">
      <c r="A15" t="s">
        <v>180</v>
      </c>
      <c r="B15" s="13"/>
      <c r="D15" t="s">
        <v>239</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240</v>
      </c>
      <c r="B21" s="19"/>
      <c r="D21" t="s">
        <v>234</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26774C9F-FF28-4BE9-9B4D-B1C94B863053}">
          <x14:formula1>
            <xm:f>Input_Validation!$Q$3:$Q$8</xm:f>
          </x14:formula1>
          <xm:sqref>B4</xm:sqref>
        </x14:dataValidation>
        <x14:dataValidation type="list" allowBlank="1" showInputMessage="1" showErrorMessage="1" promptTitle="Ionization Mode" prompt="Mode of ionization of the mass spectrometer." xr:uid="{B2B21335-BC6D-43D3-B4B0-A7966011F85E}">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16B1E42D-9AAB-4F1C-AF61-56280BFE1F87}">
          <x14:formula1>
            <xm:f>Input_Validation!$S$3:$S$4</xm:f>
          </x14:formula1>
          <xm:sqref>B7</xm:sqref>
        </x14:dataValidation>
        <x14:dataValidation type="list" allowBlank="1" showInputMessage="1" showErrorMessage="1" promptTitle="Ionization Voltage/Current Units" prompt="Units for the above-noted ionization voltage or current." xr:uid="{036EED25-7D49-4F9E-BC53-22D8C8DDC9A3}">
          <x14:formula1>
            <xm:f>Input_Validation!$T$3:$T$7</xm:f>
          </x14:formula1>
          <xm:sqref>B9</xm:sqref>
        </x14:dataValidation>
        <x14:dataValidation type="list" allowBlank="1" showInputMessage="1" showErrorMessage="1" promptTitle="First Mass Analyzer" prompt="First mass analyzer in the mass spectrometer." xr:uid="{12FC7F29-3F2A-43A5-BBCB-CB1196220C98}">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DA28C4BF-F488-4B21-BB5D-6E96537B6FD8}">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BF342E76-C50B-47AA-B3A2-EB34546A3015}">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54CB9968-1A39-4605-87E4-A63873DC71A6}">
          <x14:formula1>
            <xm:f>Input_Validation!$X$3:$X$4</xm:f>
          </x14:formula1>
          <xm:sqref>B14</xm:sqref>
        </x14:dataValidation>
        <x14:dataValidation type="list" allowBlank="1" showInputMessage="1" showErrorMessage="1" promptTitle="Fragmentation Energy Units" prompt="Units of the fragmentation/collision energy value above." xr:uid="{CEF5DC17-8114-4442-8EAD-296333EA6F30}">
          <x14:formula1>
            <xm:f>Input_Validation!$Y$3:$Y$4</xm:f>
          </x14:formula1>
          <xm:sqref>B15</xm:sqref>
        </x14:dataValidation>
        <x14:dataValidation type="list" allowBlank="1" showInputMessage="1" showErrorMessage="1" promptTitle="MS2 Experiment" prompt="Type of fragmentation/MS2 experiment." xr:uid="{F2673464-C29C-46C9-A41A-C6532A08E42E}">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243</v>
      </c>
      <c r="D3" s="4"/>
      <c r="E3" s="1" t="s">
        <v>229</v>
      </c>
    </row>
    <row r="4" spans="1:7" x14ac:dyDescent="0.25">
      <c r="A4" t="s">
        <v>242</v>
      </c>
      <c r="B4" s="13"/>
      <c r="C4" s="23"/>
      <c r="E4" t="s">
        <v>51</v>
      </c>
      <c r="G4" s="16" t="s">
        <v>256</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D2891305-3FC0-45E8-B8BD-CF51F638A82F}">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8323999D-357B-4D6E-863E-D8E99A659D58}">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FD076E56-8999-445C-97CC-07F6EE439F02}">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2B67F87-C4E0-4F21-BBE5-93684450988A}">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238F37A-AE3D-48FE-B80E-BEBBF0071C23}">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tabSelected="1" workbookViewId="0">
      <selection activeCell="G7" sqref="G7"/>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c r="B1" s="9"/>
      <c r="C1" s="9"/>
      <c r="D1" s="25" t="s">
        <v>258</v>
      </c>
      <c r="E1" s="26"/>
      <c r="F1" s="27"/>
    </row>
    <row r="2" spans="1:8" x14ac:dyDescent="0.25">
      <c r="A2" s="1" t="s">
        <v>6</v>
      </c>
      <c r="B2" s="9"/>
      <c r="C2" s="9"/>
    </row>
    <row r="3" spans="1:8" x14ac:dyDescent="0.25">
      <c r="A3" s="5" t="s">
        <v>62</v>
      </c>
      <c r="B3" s="8" t="s">
        <v>182</v>
      </c>
      <c r="C3" s="5" t="s">
        <v>184</v>
      </c>
      <c r="D3" s="5" t="s">
        <v>63</v>
      </c>
      <c r="E3" s="5" t="s">
        <v>64</v>
      </c>
      <c r="F3" s="5" t="s">
        <v>65</v>
      </c>
      <c r="G3" s="5" t="s">
        <v>66</v>
      </c>
      <c r="H3" s="5" t="s">
        <v>195</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1:H1048576 H39 H14:H31 H12 H4:H7 H9:H10"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11" r:id="rId5"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1">
        <x14:dataValidation type="list" allowBlank="1" showInputMessage="1" showErrorMessage="1" promptTitle="Ion State" prompt="The ion state of the measured precursor/molecular ion associated with the entered compound identity and m/z value." xr:uid="{D91B6698-77FB-43B5-871E-503833163948}">
          <x14:formula1>
            <xm:f>Input_Validation!$AF$3:$AF$12</xm:f>
          </x14:formula1>
          <xm:sqref>C4:C1048576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255</v>
      </c>
      <c r="B7"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Input_Validation</vt:lpstr>
      <vt:lpstr>Sample_Input</vt:lpstr>
      <vt:lpstr>Import</vt:lpstr>
      <vt:lpstr>Chromatography_Input</vt:lpstr>
      <vt:lpstr>Mass Spectrometry_Input</vt:lpstr>
      <vt:lpstr>QC Method_Input</vt:lpstr>
      <vt:lpstr>Peaks_Input</vt:lpstr>
      <vt:lpstr>QC_Check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2022-02-23T21:58:43Z</dcterms:modified>
</cp:coreProperties>
</file>